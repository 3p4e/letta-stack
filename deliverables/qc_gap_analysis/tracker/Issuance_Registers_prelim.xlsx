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post-SOP</t>
        </is>
      </c>
      <c r="H2" s="2" t="inlineStr">
        <is>
          <t>initial release</t>
        </is>
      </c>
      <c r="I2" s="3" t="inlineStr">
        <is>
          <t>J31122501</t>
        </is>
      </c>
      <c r="J2" s="2" t="inlineStr">
        <is>
          <t>P060262</t>
        </is>
      </c>
      <c r="K2" s="2" t="inlineStr">
        <is>
          <t>Jokerz 31</t>
        </is>
      </c>
      <c r="L2" s="2" t="inlineStr">
        <is>
          <t>Ident A + Ident B + Foreign matter</t>
        </is>
      </c>
      <c r="M2" s="6" t="inlineStr">
        <is>
          <t>—</t>
        </is>
      </c>
      <c r="N2" s="2">
        <f>IFERROR(INDEX('CoQ Register'!$B:$B,MATCH("P060262|I",'CoQ Register'!$S:$S,0)),"—")</f>
        <v/>
      </c>
      <c r="O2" s="6" t="inlineStr">
        <is>
          <t>—</t>
        </is>
      </c>
      <c r="P2" s="2" t="inlineStr">
        <is>
          <t>P060262|I</t>
        </is>
      </c>
      <c r="Q2" s="7" t="inlineStr">
        <is>
          <t>registered — first working day 5 days after packaging</t>
        </is>
      </c>
    </row>
    <row r="3">
      <c r="A3" s="2">
        <f>IF(C3="yes",COUNT(A$1:A2)+1,"")</f>
        <v/>
      </c>
      <c r="B3" s="3">
        <f>IF(A3&lt;&gt;"","iCoA-PP_26-"&amp;TEXT(A3,"000"),IF(C3="n/a","not needed","— at issue —"))</f>
        <v/>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post-SOP</t>
        </is>
      </c>
      <c r="H3" s="2" t="inlineStr">
        <is>
          <t>initial release</t>
        </is>
      </c>
      <c r="I3" s="3" t="inlineStr">
        <is>
          <t>CC112501</t>
        </is>
      </c>
      <c r="J3" s="2" t="inlineStr">
        <is>
          <t>P060272</t>
        </is>
      </c>
      <c r="K3" s="2" t="inlineStr">
        <is>
          <t>Cash Cow</t>
        </is>
      </c>
      <c r="L3" s="2" t="inlineStr">
        <is>
          <t>Ident A + Ident B + Foreign matter</t>
        </is>
      </c>
      <c r="M3" s="6" t="inlineStr">
        <is>
          <t>—</t>
        </is>
      </c>
      <c r="N3" s="2">
        <f>IFERROR(INDEX('CoQ Register'!$B:$B,MATCH("P060272|I",'CoQ Register'!$S:$S,0)),"—")</f>
        <v/>
      </c>
      <c r="O3" s="6" t="inlineStr">
        <is>
          <t>—</t>
        </is>
      </c>
      <c r="P3" s="2" t="inlineStr">
        <is>
          <t>P060272|I</t>
        </is>
      </c>
      <c r="Q3" s="7" t="inlineStr">
        <is>
          <t>registered — first working day 5 days after packaging</t>
        </is>
      </c>
    </row>
    <row r="4">
      <c r="A4" s="2">
        <f>IF(C4="yes",COUNT(A$1:A3)+1,"")</f>
        <v/>
      </c>
      <c r="B4" s="3">
        <f>IF(A4&lt;&gt;"","iCoA-PP_26-"&amp;TEXT(A4,"000"),IF(C4="n/a","not needed","— at issue —"))</f>
        <v/>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post-SOP</t>
        </is>
      </c>
      <c r="H4" s="2" t="inlineStr">
        <is>
          <t>initial release</t>
        </is>
      </c>
      <c r="I4" s="3" t="inlineStr">
        <is>
          <t>SCR112501</t>
        </is>
      </c>
      <c r="J4" s="2" t="inlineStr">
        <is>
          <t>P060282</t>
        </is>
      </c>
      <c r="K4" s="2" t="inlineStr">
        <is>
          <t>Scrambler</t>
        </is>
      </c>
      <c r="L4" s="2" t="inlineStr">
        <is>
          <t>Ident A + Ident B + Foreign matter</t>
        </is>
      </c>
      <c r="M4" s="6" t="inlineStr">
        <is>
          <t>—</t>
        </is>
      </c>
      <c r="N4" s="2">
        <f>IFERROR(INDEX('CoQ Register'!$B:$B,MATCH("P060282|I",'CoQ Register'!$S:$S,0)),"—")</f>
        <v/>
      </c>
      <c r="O4" s="2" t="inlineStr">
        <is>
          <t>iCoA-PP-2026-0018</t>
        </is>
      </c>
      <c r="P4" s="2" t="inlineStr">
        <is>
          <t>P060282|I</t>
        </is>
      </c>
      <c r="Q4" s="7" t="inlineStr">
        <is>
          <t>registered — first working day 5 days after packaging</t>
        </is>
      </c>
    </row>
    <row r="5">
      <c r="A5" s="2">
        <f>IF(C5="yes",COUNT(A$1:A4)+1,"")</f>
        <v/>
      </c>
      <c r="B5" s="3">
        <f>IF(A5&lt;&gt;"","iCoA-PP_26-"&amp;TEXT(A5,"000"),IF(C5="n/a","not needed","— at issue —"))</f>
        <v/>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post-SOP</t>
        </is>
      </c>
      <c r="H5" s="2" t="inlineStr">
        <is>
          <t>initial release</t>
        </is>
      </c>
      <c r="I5" s="3" t="inlineStr">
        <is>
          <t>FB112501</t>
        </is>
      </c>
      <c r="J5" s="2" t="inlineStr">
        <is>
          <t>P060292</t>
        </is>
      </c>
      <c r="K5" s="2" t="inlineStr">
        <is>
          <t>Fat Bastard</t>
        </is>
      </c>
      <c r="L5" s="2" t="inlineStr">
        <is>
          <t>Ident A + Ident B + Foreign matter</t>
        </is>
      </c>
      <c r="M5" s="6" t="inlineStr">
        <is>
          <t>—</t>
        </is>
      </c>
      <c r="N5" s="2">
        <f>IFERROR(INDEX('CoQ Register'!$B:$B,MATCH("P060292|I",'CoQ Register'!$S:$S,0)),"—")</f>
        <v/>
      </c>
      <c r="O5" s="6" t="inlineStr">
        <is>
          <t>—</t>
        </is>
      </c>
      <c r="P5" s="2" t="inlineStr">
        <is>
          <t>P060292|I</t>
        </is>
      </c>
      <c r="Q5" s="7" t="inlineStr">
        <is>
          <t>registered — first working day 5 days after packaging</t>
        </is>
      </c>
    </row>
    <row r="6">
      <c r="A6" s="2">
        <f>IF(C6="yes",COUNT(A$1:A5)+1,"")</f>
        <v/>
      </c>
      <c r="B6" s="3">
        <f>IF(A6&lt;&gt;"","iCoA-PP_26-"&amp;TEXT(A6,"000"),IF(C6="n/a","not needed","— at issue —"))</f>
        <v/>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post-SOP</t>
        </is>
      </c>
      <c r="H6" s="2" t="inlineStr">
        <is>
          <t>initial release</t>
        </is>
      </c>
      <c r="I6" s="3" t="inlineStr">
        <is>
          <t>GG012601＊</t>
        </is>
      </c>
      <c r="J6" s="2" t="inlineStr">
        <is>
          <t>P060302</t>
        </is>
      </c>
      <c r="K6" s="2" t="inlineStr">
        <is>
          <t>Gorilla Glue</t>
        </is>
      </c>
      <c r="L6" s="2" t="inlineStr">
        <is>
          <t>Ident A + Ident B + Foreign matter</t>
        </is>
      </c>
      <c r="M6" s="6" t="inlineStr">
        <is>
          <t>—</t>
        </is>
      </c>
      <c r="N6" s="2">
        <f>IFERROR(INDEX('CoQ Register'!$B:$B,MATCH("P060302|I",'CoQ Register'!$S:$S,0)),"—")</f>
        <v/>
      </c>
      <c r="O6" s="6" t="inlineStr">
        <is>
          <t>—</t>
        </is>
      </c>
      <c r="P6" s="2" t="inlineStr">
        <is>
          <t>P060302|I</t>
        </is>
      </c>
      <c r="Q6" s="7" t="inlineStr">
        <is>
          <t>registered — first working day 5 days after packaging</t>
        </is>
      </c>
    </row>
    <row r="7">
      <c r="A7" s="2">
        <f>IF(C7="yes",COUNT(A$1:A6)+1,"")</f>
        <v/>
      </c>
      <c r="B7" s="3">
        <f>IF(A7&lt;&gt;"","iCoA-PP_26-"&amp;TEXT(A7,"000"),IF(C7="n/a","not needed","— at issue —"))</f>
        <v/>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post-SOP</t>
        </is>
      </c>
      <c r="H7" s="2" t="inlineStr">
        <is>
          <t>initial release</t>
        </is>
      </c>
      <c r="I7" s="3" t="inlineStr">
        <is>
          <t>JD012601＊</t>
        </is>
      </c>
      <c r="J7" s="2" t="inlineStr">
        <is>
          <t>P060312</t>
        </is>
      </c>
      <c r="K7" s="2" t="inlineStr">
        <is>
          <t>Jelly Donutz</t>
        </is>
      </c>
      <c r="L7" s="2" t="inlineStr">
        <is>
          <t>Ident A + Ident B + Foreign matter</t>
        </is>
      </c>
      <c r="M7" s="6" t="inlineStr">
        <is>
          <t>—</t>
        </is>
      </c>
      <c r="N7" s="2">
        <f>IFERROR(INDEX('CoQ Register'!$B:$B,MATCH("P060312|I",'CoQ Register'!$S:$S,0)),"—")</f>
        <v/>
      </c>
      <c r="O7" s="6" t="inlineStr">
        <is>
          <t>—</t>
        </is>
      </c>
      <c r="P7" s="2" t="inlineStr">
        <is>
          <t>P060312|I</t>
        </is>
      </c>
      <c r="Q7" s="7" t="inlineStr">
        <is>
          <t>registered — first working day 5 days after packaging</t>
        </is>
      </c>
    </row>
    <row r="8">
      <c r="A8" s="2">
        <f>IF(C8="yes",COUNT(A$1:A7)+1,"")</f>
        <v/>
      </c>
      <c r="B8" s="3">
        <f>IF(A8&lt;&gt;"","iCoA-PP_26-"&amp;TEXT(A8,"000"),IF(C8="n/a","not needed","— at issue —"))</f>
        <v/>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post-SOP</t>
        </is>
      </c>
      <c r="H8" s="2" t="inlineStr">
        <is>
          <t>initial release</t>
        </is>
      </c>
      <c r="I8" s="3" t="inlineStr">
        <is>
          <t>CC012601/1</t>
        </is>
      </c>
      <c r="J8" s="2" t="inlineStr">
        <is>
          <t>P060332</t>
        </is>
      </c>
      <c r="K8" s="2" t="inlineStr"/>
      <c r="L8" s="2" t="inlineStr">
        <is>
          <t>Ident A + Ident B + Foreign matter</t>
        </is>
      </c>
      <c r="M8" s="6" t="inlineStr">
        <is>
          <t>—</t>
        </is>
      </c>
      <c r="N8" s="2">
        <f>IFERROR(INDEX('CoQ Register'!$B:$B,MATCH("P060332|I",'CoQ Register'!$S:$S,0)),"—")</f>
        <v/>
      </c>
      <c r="O8" s="6" t="inlineStr">
        <is>
          <t>—</t>
        </is>
      </c>
      <c r="P8" s="2" t="inlineStr">
        <is>
          <t>P060332|I</t>
        </is>
      </c>
      <c r="Q8" s="7" t="inlineStr">
        <is>
          <t>registered — first working day 5 days after packaging</t>
        </is>
      </c>
    </row>
    <row r="9">
      <c r="A9" s="2">
        <f>IF(C9="yes",COUNT(A$1:A8)+1,"")</f>
        <v/>
      </c>
      <c r="B9" s="3">
        <f>IF(A9&lt;&gt;"","iCoA-PP_26-"&amp;TEXT(A9,"000"),IF(C9="n/a","not needed","— at issue —"))</f>
        <v/>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post-SOP</t>
        </is>
      </c>
      <c r="H9" s="2" t="inlineStr">
        <is>
          <t>initial release</t>
        </is>
      </c>
      <c r="I9" s="3" t="inlineStr">
        <is>
          <t>FB012601_1</t>
        </is>
      </c>
      <c r="J9" s="2" t="inlineStr">
        <is>
          <t>P060322</t>
        </is>
      </c>
      <c r="K9" s="2" t="inlineStr">
        <is>
          <t>Fat Bastard</t>
        </is>
      </c>
      <c r="L9" s="2" t="inlineStr">
        <is>
          <t>Ident A + Ident B + Foreign matter</t>
        </is>
      </c>
      <c r="M9" s="6" t="inlineStr">
        <is>
          <t>—</t>
        </is>
      </c>
      <c r="N9" s="2">
        <f>IFERROR(INDEX('CoQ Register'!$B:$B,MATCH("P060322|I",'CoQ Register'!$S:$S,0)),"—")</f>
        <v/>
      </c>
      <c r="O9" s="2" t="inlineStr">
        <is>
          <t>iCoA-PP-2026-0019</t>
        </is>
      </c>
      <c r="P9" s="2" t="inlineStr">
        <is>
          <t>P060322|I</t>
        </is>
      </c>
      <c r="Q9" s="7" t="inlineStr">
        <is>
          <t>registered — first working day 5 days after packaging</t>
        </is>
      </c>
    </row>
    <row r="10">
      <c r="A10" s="2">
        <f>IF(C10="yes",COUNT(A$1:A9)+1,"")</f>
        <v/>
      </c>
      <c r="B10" s="3">
        <f>IF(A10&lt;&gt;"","iCoA-PP_26-"&amp;TEXT(A10,"000"),IF(C10="n/a","not needed","— at issue —"))</f>
        <v/>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post-SOP</t>
        </is>
      </c>
      <c r="H10" s="2" t="inlineStr">
        <is>
          <t>initial release</t>
        </is>
      </c>
      <c r="I10" s="3" t="inlineStr">
        <is>
          <t>FB012602*</t>
        </is>
      </c>
      <c r="J10" s="2" t="inlineStr">
        <is>
          <t>P060352</t>
        </is>
      </c>
      <c r="K10" s="2" t="inlineStr">
        <is>
          <t>Fat Bastard</t>
        </is>
      </c>
      <c r="L10" s="2" t="inlineStr">
        <is>
          <t>Ident A + Ident B + Foreign matter</t>
        </is>
      </c>
      <c r="M10" s="6" t="inlineStr">
        <is>
          <t>—</t>
        </is>
      </c>
      <c r="N10" s="2">
        <f>IFERROR(INDEX('CoQ Register'!$B:$B,MATCH("P060352|I",'CoQ Register'!$S:$S,0)),"—")</f>
        <v/>
      </c>
      <c r="O10" s="2" t="inlineStr">
        <is>
          <t>iCoA-PP-2026-0021</t>
        </is>
      </c>
      <c r="P10" s="2" t="inlineStr">
        <is>
          <t>P060352|I</t>
        </is>
      </c>
      <c r="Q10" s="7" t="inlineStr">
        <is>
          <t>registered — first working day 5 days after packaging</t>
        </is>
      </c>
    </row>
    <row r="11">
      <c r="A11" s="2">
        <f>IF(C11="yes",COUNT(A$1:A10)+1,"")</f>
        <v/>
      </c>
      <c r="B11" s="3">
        <f>IF(A11&lt;&gt;"","iCoA-PP_26-"&amp;TEXT(A11,"000"),IF(C11="n/a","not needed","— at issue —"))</f>
        <v/>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post-SOP</t>
        </is>
      </c>
      <c r="H11" s="2" t="inlineStr">
        <is>
          <t>initial release</t>
        </is>
      </c>
      <c r="I11" s="3" t="inlineStr">
        <is>
          <t>SCR012601*</t>
        </is>
      </c>
      <c r="J11" s="2" t="inlineStr">
        <is>
          <t>P060342</t>
        </is>
      </c>
      <c r="K11" s="2" t="inlineStr">
        <is>
          <t>Scrambler</t>
        </is>
      </c>
      <c r="L11" s="2" t="inlineStr">
        <is>
          <t>Ident A + Ident B + Foreign matter</t>
        </is>
      </c>
      <c r="M11" s="6" t="inlineStr">
        <is>
          <t>—</t>
        </is>
      </c>
      <c r="N11" s="2">
        <f>IFERROR(INDEX('CoQ Register'!$B:$B,MATCH("P060342|I",'CoQ Register'!$S:$S,0)),"—")</f>
        <v/>
      </c>
      <c r="O11" s="6" t="inlineStr">
        <is>
          <t>—</t>
        </is>
      </c>
      <c r="P11" s="2" t="inlineStr">
        <is>
          <t>P060342|I</t>
        </is>
      </c>
      <c r="Q11" s="7" t="inlineStr">
        <is>
          <t>registered — first working day 5 days after packaging</t>
        </is>
      </c>
    </row>
    <row r="12">
      <c r="A12" s="2">
        <f>IF(C12="yes",COUNT(A$1:A11)+1,"")</f>
        <v/>
      </c>
      <c r="B12" s="3">
        <f>IF(A12&lt;&gt;"","iCoA-PP_26-"&amp;TEXT(A12,"000"),IF(C12="n/a","not needed","— at issue —"))</f>
        <v/>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post-SOP</t>
        </is>
      </c>
      <c r="H12" s="2" t="inlineStr">
        <is>
          <t>initial release</t>
        </is>
      </c>
      <c r="I12" s="3" t="inlineStr">
        <is>
          <t>SCR012603</t>
        </is>
      </c>
      <c r="J12" s="2" t="inlineStr">
        <is>
          <t>P060382</t>
        </is>
      </c>
      <c r="K12" s="2" t="inlineStr">
        <is>
          <t>Scrambler</t>
        </is>
      </c>
      <c r="L12" s="2" t="inlineStr">
        <is>
          <t>Ident A + Ident B + Foreign matter</t>
        </is>
      </c>
      <c r="M12" s="6" t="inlineStr">
        <is>
          <t>—</t>
        </is>
      </c>
      <c r="N12" s="2">
        <f>IFERROR(INDEX('CoQ Register'!$B:$B,MATCH("P060382|I",'CoQ Register'!$S:$S,0)),"—")</f>
        <v/>
      </c>
      <c r="O12" s="2" t="inlineStr">
        <is>
          <t>iCoA-PP-2026-0026</t>
        </is>
      </c>
      <c r="P12" s="2" t="inlineStr">
        <is>
          <t>P060382|I</t>
        </is>
      </c>
      <c r="Q12" s="7" t="inlineStr">
        <is>
          <t>registered — first working day 5 days after packaging</t>
        </is>
      </c>
    </row>
    <row r="13">
      <c r="A13" s="2">
        <f>IF(C13="yes",COUNT(A$1:A12)+1,"")</f>
        <v/>
      </c>
      <c r="B13" s="3">
        <f>IF(A13&lt;&gt;"","iCoA-PP_26-"&amp;TEXT(A13,"000"),IF(C13="n/a","not needed","— at issue —"))</f>
        <v/>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CJ1024</t>
        </is>
      </c>
      <c r="J13" s="2" t="inlineStr">
        <is>
          <t>N/A — no P batch assigned</t>
        </is>
      </c>
      <c r="K13" s="2" t="inlineStr">
        <is>
          <t>Cap Junky</t>
        </is>
      </c>
      <c r="L13" s="2" t="inlineStr">
        <is>
          <t>Ident A + Ident B + Foreign matter</t>
        </is>
      </c>
      <c r="M13" s="6" t="inlineStr">
        <is>
          <t>—</t>
        </is>
      </c>
      <c r="N13" s="2">
        <f>IFERROR(INDEX('CoQ Register'!$B:$B,MATCH("CJ1024|I",'CoQ Register'!$S:$S,0)),"—")</f>
        <v/>
      </c>
      <c r="O13" s="6" t="inlineStr">
        <is>
          <t>—</t>
        </is>
      </c>
      <c r="P13" s="2" t="inlineStr">
        <is>
          <t>CJ1024|I</t>
        </is>
      </c>
      <c r="Q13" s="7" t="inlineStr">
        <is>
          <t>registered — issued with the legacy series on 15.05.2026</t>
        </is>
      </c>
    </row>
    <row r="14">
      <c r="A14" s="2">
        <f>IF(C14="yes",COUNT(A$1:A13)+1,"")</f>
        <v/>
      </c>
      <c r="B14" s="3">
        <f>IF(A14&lt;&gt;"","iCoA-PP_26-"&amp;TEXT(A14,"000"),IF(C14="n/a","not needed","— at issue —"))</f>
        <v/>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BSS1024</t>
        </is>
      </c>
      <c r="J14" s="2" t="inlineStr">
        <is>
          <t>N/A — no P batch assigned</t>
        </is>
      </c>
      <c r="K14" s="2" t="inlineStr">
        <is>
          <t>Blue Sunset Sherbet</t>
        </is>
      </c>
      <c r="L14" s="2" t="inlineStr">
        <is>
          <t>Ident A + Ident B + Foreign matter</t>
        </is>
      </c>
      <c r="M14" s="6" t="inlineStr">
        <is>
          <t>—</t>
        </is>
      </c>
      <c r="N14" s="2">
        <f>IFERROR(INDEX('CoQ Register'!$B:$B,MATCH("BSS1024|I",'CoQ Register'!$S:$S,0)),"—")</f>
        <v/>
      </c>
      <c r="O14" s="2" t="inlineStr">
        <is>
          <t>iCoA-PP-2025-0001</t>
        </is>
      </c>
      <c r="P14" s="2" t="inlineStr">
        <is>
          <t>BSS1024|I</t>
        </is>
      </c>
      <c r="Q14" s="7" t="inlineStr">
        <is>
          <t>registered — issued with the legacy series on 15.05.2026</t>
        </is>
      </c>
    </row>
    <row r="15">
      <c r="A15" s="2">
        <f>IF(C15="yes",COUNT(A$1:A14)+1,"")</f>
        <v/>
      </c>
      <c r="B15" s="3">
        <f>IF(A15&lt;&gt;"","iCoA-PP_26-"&amp;TEXT(A15,"000"),IF(C15="n/a","not needed","— at issue —"))</f>
        <v/>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BG1024</t>
        </is>
      </c>
      <c r="J15" s="2" t="inlineStr">
        <is>
          <t>N/A — no P batch assigned</t>
        </is>
      </c>
      <c r="K15" s="2" t="inlineStr">
        <is>
          <t>Blue Gelato</t>
        </is>
      </c>
      <c r="L15" s="2" t="inlineStr">
        <is>
          <t>Ident A + Ident B + Foreign matter</t>
        </is>
      </c>
      <c r="M15" s="6" t="inlineStr">
        <is>
          <t>—</t>
        </is>
      </c>
      <c r="N15" s="2">
        <f>IFERROR(INDEX('CoQ Register'!$B:$B,MATCH("BG1024|I",'CoQ Register'!$S:$S,0)),"—")</f>
        <v/>
      </c>
      <c r="O15" s="2" t="inlineStr">
        <is>
          <t>iCoA-PP-2025-0002</t>
        </is>
      </c>
      <c r="P15" s="2" t="inlineStr">
        <is>
          <t>BG1024|I</t>
        </is>
      </c>
      <c r="Q15" s="7" t="inlineStr">
        <is>
          <t>registered — issued with the legacy series on 15.05.2026</t>
        </is>
      </c>
    </row>
    <row r="16">
      <c r="A16" s="2">
        <f>IF(C16="yes",COUNT(A$1:A15)+1,"")</f>
        <v/>
      </c>
      <c r="B16" s="3">
        <f>IF(A16&lt;&gt;"","iCoA-PP_26-"&amp;TEXT(A16,"000"),IF(C16="n/a","not needed","— at issue —"))</f>
        <v/>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t>
        </is>
      </c>
      <c r="J16" s="2" t="inlineStr">
        <is>
          <t>N/A — no P batch assigned</t>
        </is>
      </c>
      <c r="K16" s="2" t="inlineStr">
        <is>
          <t>Gorilla Glue</t>
        </is>
      </c>
      <c r="L16" s="2" t="inlineStr">
        <is>
          <t>Ident A + Ident B + Foreign matter</t>
        </is>
      </c>
      <c r="M16" s="6" t="inlineStr">
        <is>
          <t>—</t>
        </is>
      </c>
      <c r="N16" s="2">
        <f>IFERROR(INDEX('CoQ Register'!$B:$B,MATCH("GG1024|I",'CoQ Register'!$S:$S,0)),"—")</f>
        <v/>
      </c>
      <c r="O16" s="2" t="inlineStr">
        <is>
          <t>iCoA-PP-2025-0003</t>
        </is>
      </c>
      <c r="P16" s="2" t="inlineStr">
        <is>
          <t>GG1024|I</t>
        </is>
      </c>
      <c r="Q16" s="7" t="inlineStr">
        <is>
          <t>registered — issued with the legacy series on 15.05.2026</t>
        </is>
      </c>
    </row>
    <row r="17">
      <c r="A17" s="2">
        <f>IF(C17="yes",COUNT(A$1:A16)+1,"")</f>
        <v/>
      </c>
      <c r="B17" s="3">
        <f>IF(A17&lt;&gt;"","iCoA-PP_26-"&amp;TEXT(A17,"000"),IF(C17="n/a","not needed","— at issue —"))</f>
        <v/>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HPA1024</t>
        </is>
      </c>
      <c r="J17" s="2" t="inlineStr">
        <is>
          <t>N/A — no P batch assigned</t>
        </is>
      </c>
      <c r="K17" s="2" t="inlineStr">
        <is>
          <t>HighProAmnesia</t>
        </is>
      </c>
      <c r="L17" s="2" t="inlineStr">
        <is>
          <t>Ident A + Ident B + Foreign matter</t>
        </is>
      </c>
      <c r="M17" s="6" t="inlineStr">
        <is>
          <t>—</t>
        </is>
      </c>
      <c r="N17" s="2">
        <f>IFERROR(INDEX('CoQ Register'!$B:$B,MATCH("HPA1024|I",'CoQ Register'!$S:$S,0)),"—")</f>
        <v/>
      </c>
      <c r="O17" s="2" t="inlineStr">
        <is>
          <t>iCoA-PP-2025-0004</t>
        </is>
      </c>
      <c r="P17" s="2" t="inlineStr">
        <is>
          <t>HPA1024|I</t>
        </is>
      </c>
      <c r="Q17" s="7" t="inlineStr">
        <is>
          <t>registered — issued with the legacy series on 15.05.2026</t>
        </is>
      </c>
    </row>
    <row r="18">
      <c r="A18" s="2">
        <f>IF(C18="yes",COUNT(A$1:A17)+1,"")</f>
        <v/>
      </c>
      <c r="B18" s="3">
        <f>IF(A18&lt;&gt;"","iCoA-PP_26-"&amp;TEXT(A18,"000"),IF(C18="n/a","not needed","— at issue —"))</f>
        <v/>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OPM1024</t>
        </is>
      </c>
      <c r="J18" s="2" t="inlineStr">
        <is>
          <t>N/A — no P batch assigned</t>
        </is>
      </c>
      <c r="K18" s="2" t="inlineStr">
        <is>
          <t>OrangePunchMimosa</t>
        </is>
      </c>
      <c r="L18" s="2" t="inlineStr">
        <is>
          <t>Ident A + Ident B + Foreign matter</t>
        </is>
      </c>
      <c r="M18" s="6" t="inlineStr">
        <is>
          <t>—</t>
        </is>
      </c>
      <c r="N18" s="2">
        <f>IFERROR(INDEX('CoQ Register'!$B:$B,MATCH("OPM1024|I",'CoQ Register'!$S:$S,0)),"—")</f>
        <v/>
      </c>
      <c r="O18" s="2" t="inlineStr">
        <is>
          <t>iCoA-PP-2025-0005</t>
        </is>
      </c>
      <c r="P18" s="2" t="inlineStr">
        <is>
          <t>OPM1024|I</t>
        </is>
      </c>
      <c r="Q18" s="7" t="inlineStr">
        <is>
          <t>registered — issued with the legacy series on 15.05.2026</t>
        </is>
      </c>
    </row>
    <row r="19">
      <c r="A19" s="2">
        <f>IF(C19="yes",COUNT(A$1:A18)+1,"")</f>
        <v/>
      </c>
      <c r="B19" s="3">
        <f>IF(A19&lt;&gt;"","iCoA-PP_26-"&amp;TEXT(A19,"000"),IF(C19="n/a","not needed","— at issue —"))</f>
        <v/>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GP0824_02</t>
        </is>
      </c>
      <c r="J19" s="2" t="inlineStr">
        <is>
          <t>P050022</t>
        </is>
      </c>
      <c r="K19" s="2" t="inlineStr">
        <is>
          <t>Grape Pie</t>
        </is>
      </c>
      <c r="L19" s="2" t="inlineStr">
        <is>
          <t>Ident A + Ident B + Foreign matter</t>
        </is>
      </c>
      <c r="M19" s="6" t="inlineStr">
        <is>
          <t>—</t>
        </is>
      </c>
      <c r="N19" s="2">
        <f>IFERROR(INDEX('CoQ Register'!$B:$B,MATCH("P050022|I",'CoQ Register'!$S:$S,0)),"—")</f>
        <v/>
      </c>
      <c r="O19" s="2" t="inlineStr">
        <is>
          <t>iCoA-PP-2025-0006</t>
        </is>
      </c>
      <c r="P19" s="2" t="inlineStr">
        <is>
          <t>P050022|I</t>
        </is>
      </c>
      <c r="Q19" s="7" t="inlineStr">
        <is>
          <t>registered — issued with the legacy series on 15.05.2026</t>
        </is>
      </c>
    </row>
    <row r="20">
      <c r="A20" s="2">
        <f>IF(C20="yes",COUNT(A$1:A19)+1,"")</f>
        <v/>
      </c>
      <c r="B20" s="3">
        <f>IF(A20&lt;&gt;"","iCoA-PP_26-"&amp;TEXT(A20,"000"),IF(C20="n/a","not needed","— at issue —"))</f>
        <v/>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GG1024_02</t>
        </is>
      </c>
      <c r="J20" s="2" t="inlineStr">
        <is>
          <t>P050012</t>
        </is>
      </c>
      <c r="K20" s="2" t="inlineStr">
        <is>
          <t>Gorilla Glue</t>
        </is>
      </c>
      <c r="L20" s="2" t="inlineStr">
        <is>
          <t>Ident A + Ident B + Foreign matter</t>
        </is>
      </c>
      <c r="M20" s="6" t="inlineStr">
        <is>
          <t>—</t>
        </is>
      </c>
      <c r="N20" s="2">
        <f>IFERROR(INDEX('CoQ Register'!$B:$B,MATCH("P050012|I",'CoQ Register'!$S:$S,0)),"—")</f>
        <v/>
      </c>
      <c r="O20" s="6" t="inlineStr">
        <is>
          <t>—</t>
        </is>
      </c>
      <c r="P20" s="2" t="inlineStr">
        <is>
          <t>P050012|I</t>
        </is>
      </c>
      <c r="Q20" s="7" t="inlineStr">
        <is>
          <t>registered — issued with the legacy series on 15.05.2026</t>
        </is>
      </c>
    </row>
    <row r="21">
      <c r="A21" s="2">
        <f>IF(C21="yes",COUNT(A$1:A20)+1,"")</f>
        <v/>
      </c>
      <c r="B21" s="3">
        <f>IF(A21&lt;&gt;"","iCoA-PP_26-"&amp;TEXT(A21,"000"),IF(C21="n/a","not needed","— at issue —"))</f>
        <v/>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MB0824_04</t>
        </is>
      </c>
      <c r="J21" s="2" t="inlineStr">
        <is>
          <t>P050032</t>
        </is>
      </c>
      <c r="K21" s="2" t="inlineStr">
        <is>
          <t>Motor Breath</t>
        </is>
      </c>
      <c r="L21" s="2" t="inlineStr">
        <is>
          <t>Ident A + Ident B + Foreign matter</t>
        </is>
      </c>
      <c r="M21" s="6" t="inlineStr">
        <is>
          <t>—</t>
        </is>
      </c>
      <c r="N21" s="2">
        <f>IFERROR(INDEX('CoQ Register'!$B:$B,MATCH("P050032|I",'CoQ Register'!$S:$S,0)),"—")</f>
        <v/>
      </c>
      <c r="O21" s="6" t="inlineStr">
        <is>
          <t>—</t>
        </is>
      </c>
      <c r="P21" s="2" t="inlineStr">
        <is>
          <t>P050032|I</t>
        </is>
      </c>
      <c r="Q21" s="7" t="inlineStr">
        <is>
          <t>registered — issued with the legacy series on 15.05.2026</t>
        </is>
      </c>
    </row>
    <row r="22">
      <c r="A22" s="2">
        <f>IF(C22="yes",COUNT(A$1:A21)+1,"")</f>
        <v/>
      </c>
      <c r="B22" s="3">
        <f>IF(A22&lt;&gt;"","iCoA-PP_26-"&amp;TEXT(A22,"000"),IF(C22="n/a","not needed","— at issue —"))</f>
        <v/>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OMP1024_01</t>
        </is>
      </c>
      <c r="J22" s="2" t="inlineStr">
        <is>
          <t>P050042</t>
        </is>
      </c>
      <c r="K22" s="2" t="inlineStr">
        <is>
          <t>Orange Punch Mimosa</t>
        </is>
      </c>
      <c r="L22" s="2" t="inlineStr">
        <is>
          <t>Ident A + Ident B + Foreign matter</t>
        </is>
      </c>
      <c r="M22" s="6" t="inlineStr">
        <is>
          <t>—</t>
        </is>
      </c>
      <c r="N22" s="2">
        <f>IFERROR(INDEX('CoQ Register'!$B:$B,MATCH("P050042|I",'CoQ Register'!$S:$S,0)),"—")</f>
        <v/>
      </c>
      <c r="O22" s="2" t="inlineStr">
        <is>
          <t>iCoA-PP-2025-0007</t>
        </is>
      </c>
      <c r="P22" s="2" t="inlineStr">
        <is>
          <t>P050042|I</t>
        </is>
      </c>
      <c r="Q22" s="7" t="inlineStr">
        <is>
          <t>registered — issued with the legacy series on 15.05.2026</t>
        </is>
      </c>
    </row>
    <row r="23">
      <c r="A23" s="2">
        <f>IF(C23="yes",COUNT(A$1:A22)+1,"")</f>
        <v/>
      </c>
      <c r="B23" s="3">
        <f>IF(A23&lt;&gt;"","iCoA-PP_26-"&amp;TEXT(A23,"000"),IF(C23="n/a","not needed","— at issue —"))</f>
        <v/>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HPA1024_01</t>
        </is>
      </c>
      <c r="J23" s="2" t="inlineStr">
        <is>
          <t>P050052</t>
        </is>
      </c>
      <c r="K23" s="2" t="inlineStr">
        <is>
          <t>High Pro Amnesia</t>
        </is>
      </c>
      <c r="L23" s="2" t="inlineStr">
        <is>
          <t>Ident A + Ident B + Foreign matter</t>
        </is>
      </c>
      <c r="M23" s="6" t="inlineStr">
        <is>
          <t>—</t>
        </is>
      </c>
      <c r="N23" s="2">
        <f>IFERROR(INDEX('CoQ Register'!$B:$B,MATCH("P050052|I",'CoQ Register'!$S:$S,0)),"—")</f>
        <v/>
      </c>
      <c r="O23" s="2" t="inlineStr">
        <is>
          <t>iCoA-PP-2025-0008</t>
        </is>
      </c>
      <c r="P23" s="2" t="inlineStr">
        <is>
          <t>P050052|I</t>
        </is>
      </c>
      <c r="Q23" s="7" t="inlineStr">
        <is>
          <t>registered — issued with the legacy series on 15.05.2026</t>
        </is>
      </c>
    </row>
    <row r="24">
      <c r="A24" s="2">
        <f>IF(C24="yes",COUNT(A$1:A23)+1,"")</f>
        <v/>
      </c>
      <c r="B24" s="3">
        <f>IF(A24&lt;&gt;"","iCoA-PP_26-"&amp;TEXT(A24,"000"),IF(C24="n/a","not needed","— at issue —"))</f>
        <v/>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OPM1024_02</t>
        </is>
      </c>
      <c r="J24" s="2" t="inlineStr">
        <is>
          <t>P050062</t>
        </is>
      </c>
      <c r="K24" s="2" t="inlineStr">
        <is>
          <t>Orange Punch Mimosa</t>
        </is>
      </c>
      <c r="L24" s="2" t="inlineStr">
        <is>
          <t>Ident A + Ident B + Foreign matter</t>
        </is>
      </c>
      <c r="M24" s="6" t="inlineStr">
        <is>
          <t>—</t>
        </is>
      </c>
      <c r="N24" s="2">
        <f>IFERROR(INDEX('CoQ Register'!$B:$B,MATCH("P050062|I",'CoQ Register'!$S:$S,0)),"—")</f>
        <v/>
      </c>
      <c r="O24" s="2" t="inlineStr">
        <is>
          <t>iCoA-PP-2025-0009</t>
        </is>
      </c>
      <c r="P24" s="2" t="inlineStr">
        <is>
          <t>P050062|I</t>
        </is>
      </c>
      <c r="Q24" s="7" t="inlineStr">
        <is>
          <t>registered — issued with the legacy series on 15.05.2026</t>
        </is>
      </c>
    </row>
    <row r="25">
      <c r="A25" s="2">
        <f>IF(C25="yes",COUNT(A$1:A24)+1,"")</f>
        <v/>
      </c>
      <c r="B25" s="3">
        <f>IF(A25&lt;&gt;"","iCoA-PP_26-"&amp;TEXT(A25,"000"),IF(C25="n/a","not needed","— at issue —"))</f>
        <v/>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GP0824_03</t>
        </is>
      </c>
      <c r="J25" s="2" t="inlineStr">
        <is>
          <t>P050072</t>
        </is>
      </c>
      <c r="K25" s="2" t="inlineStr">
        <is>
          <t>Grape Pie</t>
        </is>
      </c>
      <c r="L25" s="2" t="inlineStr">
        <is>
          <t>Ident A + Ident B + Foreign matter</t>
        </is>
      </c>
      <c r="M25" s="6" t="inlineStr">
        <is>
          <t>—</t>
        </is>
      </c>
      <c r="N25" s="2">
        <f>IFERROR(INDEX('CoQ Register'!$B:$B,MATCH("P050072|I",'CoQ Register'!$S:$S,0)),"—")</f>
        <v/>
      </c>
      <c r="O25" s="2" t="inlineStr">
        <is>
          <t>iCoA-PP-2025-0010</t>
        </is>
      </c>
      <c r="P25" s="2" t="inlineStr">
        <is>
          <t>P050072|I</t>
        </is>
      </c>
      <c r="Q25" s="7" t="inlineStr">
        <is>
          <t>registered — issued with the legacy series on 15.05.2026</t>
        </is>
      </c>
    </row>
    <row r="26">
      <c r="A26" s="2">
        <f>IF(C26="yes",COUNT(A$1:A25)+1,"")</f>
        <v/>
      </c>
      <c r="B26" s="3">
        <f>IF(A26&lt;&gt;"","iCoA-PP_26-"&amp;TEXT(A26,"000"),IF(C26="n/a","not needed","— at issue —"))</f>
        <v/>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OPM1024_03</t>
        </is>
      </c>
      <c r="J26" s="2" t="inlineStr">
        <is>
          <t>P050082</t>
        </is>
      </c>
      <c r="K26" s="2" t="inlineStr">
        <is>
          <t>Orange Punch Mimosa</t>
        </is>
      </c>
      <c r="L26" s="2" t="inlineStr">
        <is>
          <t>Ident A + Ident B + Foreign matter</t>
        </is>
      </c>
      <c r="M26" s="6" t="inlineStr">
        <is>
          <t>—</t>
        </is>
      </c>
      <c r="N26" s="2">
        <f>IFERROR(INDEX('CoQ Register'!$B:$B,MATCH("P050082|I",'CoQ Register'!$S:$S,0)),"—")</f>
        <v/>
      </c>
      <c r="O26" s="2" t="inlineStr">
        <is>
          <t>iCoA-PP-2025-0011</t>
        </is>
      </c>
      <c r="P26" s="2" t="inlineStr">
        <is>
          <t>P050082|I</t>
        </is>
      </c>
      <c r="Q26" s="7" t="inlineStr">
        <is>
          <t>registered — issued with the legacy series on 15.05.2026</t>
        </is>
      </c>
    </row>
    <row r="27">
      <c r="A27" s="2">
        <f>IF(C27="yes",COUNT(A$1:A26)+1,"")</f>
        <v/>
      </c>
      <c r="B27" s="3">
        <f>IF(A27&lt;&gt;"","iCoA-PP_26-"&amp;TEXT(A27,"000"),IF(C27="n/a","not needed","— at issue —"))</f>
        <v/>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GG1024_01</t>
        </is>
      </c>
      <c r="J27" s="2" t="inlineStr">
        <is>
          <t>P050092</t>
        </is>
      </c>
      <c r="K27" s="2" t="inlineStr">
        <is>
          <t>Gorilla Glue</t>
        </is>
      </c>
      <c r="L27" s="2" t="inlineStr">
        <is>
          <t>Ident A + Ident B + Foreign matter</t>
        </is>
      </c>
      <c r="M27" s="6" t="inlineStr">
        <is>
          <t>—</t>
        </is>
      </c>
      <c r="N27" s="2">
        <f>IFERROR(INDEX('CoQ Register'!$B:$B,MATCH("P050092|I",'CoQ Register'!$S:$S,0)),"—")</f>
        <v/>
      </c>
      <c r="O27" s="2" t="inlineStr">
        <is>
          <t>iCoA-PP-2025-0012</t>
        </is>
      </c>
      <c r="P27" s="2" t="inlineStr">
        <is>
          <t>P050092|I</t>
        </is>
      </c>
      <c r="Q27" s="7" t="inlineStr">
        <is>
          <t>registered — issued with the legacy series on 15.05.2026</t>
        </is>
      </c>
    </row>
    <row r="28">
      <c r="A28" s="2">
        <f>IF(C28="yes",COUNT(A$1:A27)+1,"")</f>
        <v/>
      </c>
      <c r="B28" s="3">
        <f>IF(A28&lt;&gt;"","iCoA-PP_26-"&amp;TEXT(A28,"000"),IF(C28="n/a","not needed","— at issue —"))</f>
        <v/>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GP0824_01</t>
        </is>
      </c>
      <c r="J28" s="2" t="inlineStr">
        <is>
          <t>P050102</t>
        </is>
      </c>
      <c r="K28" s="2" t="inlineStr">
        <is>
          <t>Grape Pie</t>
        </is>
      </c>
      <c r="L28" s="2" t="inlineStr">
        <is>
          <t>Ident A + Ident B + Foreign matter</t>
        </is>
      </c>
      <c r="M28" s="6" t="inlineStr">
        <is>
          <t>—</t>
        </is>
      </c>
      <c r="N28" s="2">
        <f>IFERROR(INDEX('CoQ Register'!$B:$B,MATCH("P050102|I",'CoQ Register'!$S:$S,0)),"—")</f>
        <v/>
      </c>
      <c r="O28" s="6" t="inlineStr">
        <is>
          <t>—</t>
        </is>
      </c>
      <c r="P28" s="2" t="inlineStr">
        <is>
          <t>P050102|I</t>
        </is>
      </c>
      <c r="Q28" s="7" t="inlineStr">
        <is>
          <t>registered — issued with the legacy series on 15.05.2026</t>
        </is>
      </c>
    </row>
    <row r="29">
      <c r="A29" s="2">
        <f>IF(C29="yes",COUNT(A$1:A28)+1,"")</f>
        <v/>
      </c>
      <c r="B29" s="3">
        <f>IF(A29&lt;&gt;"","iCoA-PP_26-"&amp;TEXT(A29,"000"),IF(C29="n/a","not needed","— at issue —"))</f>
        <v/>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MB0824_05</t>
        </is>
      </c>
      <c r="J29" s="2" t="inlineStr">
        <is>
          <t>P050112</t>
        </is>
      </c>
      <c r="K29" s="2" t="inlineStr">
        <is>
          <t>Motor Breath</t>
        </is>
      </c>
      <c r="L29" s="2" t="inlineStr">
        <is>
          <t>Ident A + Ident B + Foreign matter</t>
        </is>
      </c>
      <c r="M29" s="6" t="inlineStr">
        <is>
          <t>—</t>
        </is>
      </c>
      <c r="N29" s="2">
        <f>IFERROR(INDEX('CoQ Register'!$B:$B,MATCH("P050112|I",'CoQ Register'!$S:$S,0)),"—")</f>
        <v/>
      </c>
      <c r="O29" s="2" t="inlineStr">
        <is>
          <t>iCoA-PP-2025-0013</t>
        </is>
      </c>
      <c r="P29" s="2" t="inlineStr">
        <is>
          <t>P050112|I</t>
        </is>
      </c>
      <c r="Q29" s="7" t="inlineStr">
        <is>
          <t>registered — issued with the legacy series on 15.05.2026</t>
        </is>
      </c>
    </row>
    <row r="30">
      <c r="A30" s="2">
        <f>IF(C30="yes",COUNT(A$1:A29)+1,"")</f>
        <v/>
      </c>
      <c r="B30" s="3">
        <f>IF(A30&lt;&gt;"","iCoA-PP_26-"&amp;TEXT(A30,"000"),IF(C30="n/a","not needed","— at issue —"))</f>
        <v/>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BSS1024_01/1</t>
        </is>
      </c>
      <c r="J30" s="2" t="inlineStr">
        <is>
          <t>P050122</t>
        </is>
      </c>
      <c r="K30" s="2" t="inlineStr">
        <is>
          <t>Blue Sunset Sherbet</t>
        </is>
      </c>
      <c r="L30" s="2" t="inlineStr">
        <is>
          <t>Ident A + Ident B + Foreign matter</t>
        </is>
      </c>
      <c r="M30" s="6" t="inlineStr">
        <is>
          <t>—</t>
        </is>
      </c>
      <c r="N30" s="2">
        <f>IFERROR(INDEX('CoQ Register'!$B:$B,MATCH("P050122|I",'CoQ Register'!$S:$S,0)),"—")</f>
        <v/>
      </c>
      <c r="O30" s="6" t="inlineStr">
        <is>
          <t>—</t>
        </is>
      </c>
      <c r="P30" s="2" t="inlineStr">
        <is>
          <t>P050122|I</t>
        </is>
      </c>
      <c r="Q30" s="7" t="inlineStr">
        <is>
          <t>registered — issued with the legacy series on 15.05.2026</t>
        </is>
      </c>
    </row>
    <row r="31">
      <c r="A31" s="2">
        <f>IF(C31="yes",COUNT(A$1:A30)+1,"")</f>
        <v/>
      </c>
      <c r="B31" s="3">
        <f>IF(A31&lt;&gt;"","iCoA-PP_26-"&amp;TEXT(A31,"000"),IF(C31="n/a","not needed","— at issue —"))</f>
        <v/>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OPM052501</t>
        </is>
      </c>
      <c r="J31" s="2" t="inlineStr">
        <is>
          <t>P050132</t>
        </is>
      </c>
      <c r="K31" s="2" t="inlineStr">
        <is>
          <t>Orange Punch Mimosa</t>
        </is>
      </c>
      <c r="L31" s="2" t="inlineStr">
        <is>
          <t>Ident A + Ident B + Foreign matter</t>
        </is>
      </c>
      <c r="M31" s="6" t="inlineStr">
        <is>
          <t>—</t>
        </is>
      </c>
      <c r="N31" s="2">
        <f>IFERROR(INDEX('CoQ Register'!$B:$B,MATCH("P050132|I",'CoQ Register'!$S:$S,0)),"—")</f>
        <v/>
      </c>
      <c r="O31" s="6" t="inlineStr">
        <is>
          <t>—</t>
        </is>
      </c>
      <c r="P31" s="2" t="inlineStr">
        <is>
          <t>P050132|I</t>
        </is>
      </c>
      <c r="Q31" s="7" t="inlineStr">
        <is>
          <t>registered — issued with the legacy series on 15.05.2026</t>
        </is>
      </c>
    </row>
    <row r="32">
      <c r="A32" s="2">
        <f>IF(C32="yes",COUNT(A$1:A31)+1,"")</f>
        <v/>
      </c>
      <c r="B32" s="3">
        <f>IF(A32&lt;&gt;"","iCoA-PP_26-"&amp;TEXT(A32,"000"),IF(C32="n/a","not needed","— at issue —"))</f>
        <v/>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GP052501</t>
        </is>
      </c>
      <c r="J32" s="2" t="inlineStr">
        <is>
          <t>P050152</t>
        </is>
      </c>
      <c r="K32" s="2" t="inlineStr">
        <is>
          <t>Grape Pie</t>
        </is>
      </c>
      <c r="L32" s="2" t="inlineStr">
        <is>
          <t>Ident A + Ident B + Foreign matter</t>
        </is>
      </c>
      <c r="M32" s="6" t="inlineStr">
        <is>
          <t>—</t>
        </is>
      </c>
      <c r="N32" s="2">
        <f>IFERROR(INDEX('CoQ Register'!$B:$B,MATCH("P050152|I",'CoQ Register'!$S:$S,0)),"—")</f>
        <v/>
      </c>
      <c r="O32" s="2" t="inlineStr">
        <is>
          <t>iCoA-PP-2025-0014</t>
        </is>
      </c>
      <c r="P32" s="2" t="inlineStr">
        <is>
          <t>P050152|I</t>
        </is>
      </c>
      <c r="Q32" s="7" t="inlineStr">
        <is>
          <t>registered — issued with the legacy series on 15.05.2026</t>
        </is>
      </c>
    </row>
    <row r="33">
      <c r="A33" s="2">
        <f>IF(C33="yes",COUNT(A$1:A32)+1,"")</f>
        <v/>
      </c>
      <c r="B33" s="3">
        <f>IF(A33&lt;&gt;"","iCoA-PP_26-"&amp;TEXT(A33,"000"),IF(C33="n/a","not needed","— at issue —"))</f>
        <v/>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BSS1024_01/2</t>
        </is>
      </c>
      <c r="J33" s="2" t="inlineStr">
        <is>
          <t>P050142</t>
        </is>
      </c>
      <c r="K33" s="2" t="inlineStr">
        <is>
          <t>Blue Sunset Sherbet</t>
        </is>
      </c>
      <c r="L33" s="2" t="inlineStr">
        <is>
          <t>Ident A + Ident B + Foreign matter</t>
        </is>
      </c>
      <c r="M33" s="6" t="inlineStr">
        <is>
          <t>—</t>
        </is>
      </c>
      <c r="N33" s="2">
        <f>IFERROR(INDEX('CoQ Register'!$B:$B,MATCH("P050142|I",'CoQ Register'!$S:$S,0)),"—")</f>
        <v/>
      </c>
      <c r="O33" s="6" t="inlineStr">
        <is>
          <t>—</t>
        </is>
      </c>
      <c r="P33" s="2" t="inlineStr">
        <is>
          <t>P050142|I</t>
        </is>
      </c>
      <c r="Q33" s="7" t="inlineStr">
        <is>
          <t>registered — issued with the legacy series on 15.05.2026</t>
        </is>
      </c>
    </row>
    <row r="34">
      <c r="A34" s="2">
        <f>IF(C34="yes",COUNT(A$1:A33)+1,"")</f>
        <v/>
      </c>
      <c r="B34" s="3">
        <f>IF(A34&lt;&gt;"","iCoA-PP_26-"&amp;TEXT(A34,"000"),IF(C34="n/a","not needed","— at issue —"))</f>
        <v/>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CJ052501/01</t>
        </is>
      </c>
      <c r="J34" s="2" t="inlineStr">
        <is>
          <t>P050162</t>
        </is>
      </c>
      <c r="K34" s="2" t="inlineStr">
        <is>
          <t>Cup Junky</t>
        </is>
      </c>
      <c r="L34" s="2" t="inlineStr">
        <is>
          <t>Ident A + Ident B + Foreign matter</t>
        </is>
      </c>
      <c r="M34" s="6" t="inlineStr">
        <is>
          <t>—</t>
        </is>
      </c>
      <c r="N34" s="2">
        <f>IFERROR(INDEX('CoQ Register'!$B:$B,MATCH("P050162|I",'CoQ Register'!$S:$S,0)),"—")</f>
        <v/>
      </c>
      <c r="O34" s="2" t="inlineStr">
        <is>
          <t>iCoA-PP-2025-0015</t>
        </is>
      </c>
      <c r="P34" s="2" t="inlineStr">
        <is>
          <t>P050162|I</t>
        </is>
      </c>
      <c r="Q34" s="7" t="inlineStr">
        <is>
          <t>registered — issued with the legacy series on 15.05.2026</t>
        </is>
      </c>
    </row>
    <row r="35">
      <c r="A35" s="2">
        <f>IF(C35="yes",COUNT(A$1:A34)+1,"")</f>
        <v/>
      </c>
      <c r="B35" s="3">
        <f>IF(A35&lt;&gt;"","iCoA-PP_26-"&amp;TEXT(A35,"000"),IF(C35="n/a","not needed","— at issue —"))</f>
        <v/>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CJ052501/02</t>
        </is>
      </c>
      <c r="J35" s="2" t="inlineStr">
        <is>
          <t>P050172</t>
        </is>
      </c>
      <c r="K35" s="2" t="inlineStr">
        <is>
          <t>Cap Junky</t>
        </is>
      </c>
      <c r="L35" s="2" t="inlineStr">
        <is>
          <t>Ident A + Ident B + Foreign matter</t>
        </is>
      </c>
      <c r="M35" s="6" t="inlineStr">
        <is>
          <t>—</t>
        </is>
      </c>
      <c r="N35" s="2">
        <f>IFERROR(INDEX('CoQ Register'!$B:$B,MATCH("P050172|I",'CoQ Register'!$S:$S,0)),"—")</f>
        <v/>
      </c>
      <c r="O35" s="6" t="inlineStr">
        <is>
          <t>—</t>
        </is>
      </c>
      <c r="P35" s="2" t="inlineStr">
        <is>
          <t>P050172|I</t>
        </is>
      </c>
      <c r="Q35" s="7" t="inlineStr">
        <is>
          <t>registered — issued with the legacy series on 15.05.2026</t>
        </is>
      </c>
    </row>
    <row r="36">
      <c r="A36" s="2">
        <f>IF(C36="yes",COUNT(A$1:A35)+1,"")</f>
        <v/>
      </c>
      <c r="B36" s="3">
        <f>IF(A36&lt;&gt;"","iCoA-PP_26-"&amp;TEXT(A36,"000"),IF(C36="n/a","not needed","— at issue —"))</f>
        <v/>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HPA052501</t>
        </is>
      </c>
      <c r="J36" s="2" t="inlineStr">
        <is>
          <t>P050182</t>
        </is>
      </c>
      <c r="K36" s="2" t="inlineStr">
        <is>
          <t>High Pro Amnesia</t>
        </is>
      </c>
      <c r="L36" s="2" t="inlineStr">
        <is>
          <t>Ident A + Ident B + Foreign matter</t>
        </is>
      </c>
      <c r="M36" s="6" t="inlineStr">
        <is>
          <t>—</t>
        </is>
      </c>
      <c r="N36" s="2">
        <f>IFERROR(INDEX('CoQ Register'!$B:$B,MATCH("P050182|I",'CoQ Register'!$S:$S,0)),"—")</f>
        <v/>
      </c>
      <c r="O36" s="2" t="inlineStr">
        <is>
          <t>iCoA-PP-2025-0016</t>
        </is>
      </c>
      <c r="P36" s="2" t="inlineStr">
        <is>
          <t>P050182|I</t>
        </is>
      </c>
      <c r="Q36" s="7" t="inlineStr">
        <is>
          <t>registered — issued with the legacy series on 15.05.2026</t>
        </is>
      </c>
    </row>
    <row r="37">
      <c r="A37" s="2">
        <f>IF(C37="yes",COUNT(A$1:A36)+1,"")</f>
        <v/>
      </c>
      <c r="B37" s="3">
        <f>IF(A37&lt;&gt;"","iCoA-PP_26-"&amp;TEXT(A37,"000"),IF(C37="n/a","not needed","— at issue —"))</f>
        <v/>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BSS052501</t>
        </is>
      </c>
      <c r="J37" s="2" t="inlineStr">
        <is>
          <t>P050192</t>
        </is>
      </c>
      <c r="K37" s="2" t="inlineStr">
        <is>
          <t>Sleepy Joe</t>
        </is>
      </c>
      <c r="L37" s="2" t="inlineStr">
        <is>
          <t>Ident A + Ident B + Foreign matter</t>
        </is>
      </c>
      <c r="M37" s="6" t="inlineStr">
        <is>
          <t>—</t>
        </is>
      </c>
      <c r="N37" s="2">
        <f>IFERROR(INDEX('CoQ Register'!$B:$B,MATCH("P050192|I",'CoQ Register'!$S:$S,0)),"—")</f>
        <v/>
      </c>
      <c r="O37" s="2" t="inlineStr">
        <is>
          <t>iCoA-PP-2025-0017</t>
        </is>
      </c>
      <c r="P37" s="2" t="inlineStr">
        <is>
          <t>P050192|I</t>
        </is>
      </c>
      <c r="Q37" s="7" t="inlineStr">
        <is>
          <t>registered — issued with the legacy series on 15.05.2026</t>
        </is>
      </c>
    </row>
    <row r="38">
      <c r="A38" s="2">
        <f>IF(C38="yes",COUNT(A$1:A37)+1,"")</f>
        <v/>
      </c>
      <c r="B38" s="3">
        <f>IF(A38&lt;&gt;"","iCoA-PP_26-"&amp;TEXT(A38,"000"),IF(C38="n/a","not needed","— at issue —"))</f>
        <v/>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GP062501</t>
        </is>
      </c>
      <c r="J38" s="2" t="inlineStr">
        <is>
          <t>P050202</t>
        </is>
      </c>
      <c r="K38" s="2" t="inlineStr">
        <is>
          <t>Grape Pie</t>
        </is>
      </c>
      <c r="L38" s="2" t="inlineStr">
        <is>
          <t>Ident A + Ident B + Foreign matter</t>
        </is>
      </c>
      <c r="M38" s="6" t="inlineStr">
        <is>
          <t>—</t>
        </is>
      </c>
      <c r="N38" s="2">
        <f>IFERROR(INDEX('CoQ Register'!$B:$B,MATCH("P050202|I",'CoQ Register'!$S:$S,0)),"—")</f>
        <v/>
      </c>
      <c r="O38" s="6" t="inlineStr">
        <is>
          <t>—</t>
        </is>
      </c>
      <c r="P38" s="2" t="inlineStr">
        <is>
          <t>P050202|I</t>
        </is>
      </c>
      <c r="Q38" s="7" t="inlineStr">
        <is>
          <t>registered — issued with the legacy series on 15.05.2026</t>
        </is>
      </c>
    </row>
    <row r="39">
      <c r="A39" s="2">
        <f>IF(C39="yes",COUNT(A$1:A38)+1,"")</f>
        <v/>
      </c>
      <c r="B39" s="3">
        <f>IF(A39&lt;&gt;"","iCoA-PP_26-"&amp;TEXT(A39,"000"),IF(C39="n/a","not needed","— at issue —"))</f>
        <v/>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CJ062501/2</t>
        </is>
      </c>
      <c r="J39" s="2" t="inlineStr">
        <is>
          <t>P050212</t>
        </is>
      </c>
      <c r="K39" s="2" t="inlineStr">
        <is>
          <t>Cap Junkie</t>
        </is>
      </c>
      <c r="L39" s="2" t="inlineStr">
        <is>
          <t>Ident A + Ident B + Foreign matter</t>
        </is>
      </c>
      <c r="M39" s="6" t="inlineStr">
        <is>
          <t>—</t>
        </is>
      </c>
      <c r="N39" s="2">
        <f>IFERROR(INDEX('CoQ Register'!$B:$B,MATCH("P050212|I",'CoQ Register'!$S:$S,0)),"—")</f>
        <v/>
      </c>
      <c r="O39" s="6" t="inlineStr">
        <is>
          <t>—</t>
        </is>
      </c>
      <c r="P39" s="2" t="inlineStr">
        <is>
          <t>P050212|I</t>
        </is>
      </c>
      <c r="Q39" s="7" t="inlineStr">
        <is>
          <t>registered — issued with the legacy series on 15.05.2026</t>
        </is>
      </c>
    </row>
    <row r="40">
      <c r="A40" s="2">
        <f>IF(C40="yes",COUNT(A$1:A39)+1,"")</f>
        <v/>
      </c>
      <c r="B40" s="3">
        <f>IF(A40&lt;&gt;"","iCoA-PP_26-"&amp;TEXT(A40,"000"),IF(C40="n/a","not needed","— at issue —"))</f>
        <v/>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CJ062501/1</t>
        </is>
      </c>
      <c r="J40" s="2" t="inlineStr">
        <is>
          <t>P050222</t>
        </is>
      </c>
      <c r="K40" s="2" t="inlineStr">
        <is>
          <t>Cap Junkie</t>
        </is>
      </c>
      <c r="L40" s="2" t="inlineStr">
        <is>
          <t>Ident A + Ident B + Foreign matter</t>
        </is>
      </c>
      <c r="M40" s="6" t="inlineStr">
        <is>
          <t>—</t>
        </is>
      </c>
      <c r="N40" s="2">
        <f>IFERROR(INDEX('CoQ Register'!$B:$B,MATCH("P050222|I",'CoQ Register'!$S:$S,0)),"—")</f>
        <v/>
      </c>
      <c r="O40" s="2" t="inlineStr">
        <is>
          <t>iCoA-PP-2025-0018</t>
        </is>
      </c>
      <c r="P40" s="2" t="inlineStr">
        <is>
          <t>P050222|I</t>
        </is>
      </c>
      <c r="Q40" s="7" t="inlineStr">
        <is>
          <t>registered — issued with the legacy series on 15.05.2026</t>
        </is>
      </c>
    </row>
    <row r="41">
      <c r="A41" s="2">
        <f>IF(C41="yes",COUNT(A$1:A40)+1,"")</f>
        <v/>
      </c>
      <c r="B41" s="3">
        <f>IF(A41&lt;&gt;"","iCoA-PP_26-"&amp;TEXT(A41,"000"),IF(C41="n/a","not needed","— at issue —"))</f>
        <v/>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CJ072501</t>
        </is>
      </c>
      <c r="J41" s="2" t="inlineStr">
        <is>
          <t>P050252</t>
        </is>
      </c>
      <c r="K41" s="2" t="inlineStr">
        <is>
          <t>Cap Junky</t>
        </is>
      </c>
      <c r="L41" s="2" t="inlineStr">
        <is>
          <t>Ident A + Ident B + Foreign matter</t>
        </is>
      </c>
      <c r="M41" s="6" t="inlineStr">
        <is>
          <t>—</t>
        </is>
      </c>
      <c r="N41" s="2">
        <f>IFERROR(INDEX('CoQ Register'!$B:$B,MATCH("P050252|I",'CoQ Register'!$S:$S,0)),"—")</f>
        <v/>
      </c>
      <c r="O41" s="6" t="inlineStr">
        <is>
          <t>—</t>
        </is>
      </c>
      <c r="P41" s="2" t="inlineStr">
        <is>
          <t>P050252|I</t>
        </is>
      </c>
      <c r="Q41" s="7" t="inlineStr">
        <is>
          <t>registered — issued with the legacy series on 15.05.2026</t>
        </is>
      </c>
    </row>
    <row r="42">
      <c r="A42" s="2">
        <f>IF(C42="yes",COUNT(A$1:A41)+1,"")</f>
        <v/>
      </c>
      <c r="B42" s="3">
        <f>IF(A42&lt;&gt;"","iCoA-PP_26-"&amp;TEXT(A42,"000"),IF(C42="n/a","not needed","— at issue —"))</f>
        <v/>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WC072501</t>
        </is>
      </c>
      <c r="J42" s="2" t="inlineStr">
        <is>
          <t>P050262</t>
        </is>
      </c>
      <c r="K42" s="2" t="inlineStr">
        <is>
          <t>Wedding Crusher</t>
        </is>
      </c>
      <c r="L42" s="2" t="inlineStr">
        <is>
          <t>Ident A + Ident B + Foreign matter</t>
        </is>
      </c>
      <c r="M42" s="6" t="inlineStr">
        <is>
          <t>—</t>
        </is>
      </c>
      <c r="N42" s="2">
        <f>IFERROR(INDEX('CoQ Register'!$B:$B,MATCH("P050262|I",'CoQ Register'!$S:$S,0)),"—")</f>
        <v/>
      </c>
      <c r="O42" s="6" t="inlineStr">
        <is>
          <t>—</t>
        </is>
      </c>
      <c r="P42" s="2" t="inlineStr">
        <is>
          <t>P050262|I</t>
        </is>
      </c>
      <c r="Q42" s="7" t="inlineStr">
        <is>
          <t>registered — issued with the legacy series on 15.05.2026</t>
        </is>
      </c>
    </row>
    <row r="43">
      <c r="A43" s="2">
        <f>IF(C43="yes",COUNT(A$1:A42)+1,"")</f>
        <v/>
      </c>
      <c r="B43" s="3">
        <f>IF(A43&lt;&gt;"","iCoA-PP_26-"&amp;TEXT(A43,"000"),IF(C43="n/a","not needed","— at issue —"))</f>
        <v/>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PM072501</t>
        </is>
      </c>
      <c r="J43" s="2" t="inlineStr">
        <is>
          <t>P050272</t>
        </is>
      </c>
      <c r="K43" s="2" t="inlineStr">
        <is>
          <t>Permanent Marker</t>
        </is>
      </c>
      <c r="L43" s="2" t="inlineStr">
        <is>
          <t>Ident A + Ident B + Foreign matter</t>
        </is>
      </c>
      <c r="M43" s="6" t="inlineStr">
        <is>
          <t>—</t>
        </is>
      </c>
      <c r="N43" s="2">
        <f>IFERROR(INDEX('CoQ Register'!$B:$B,MATCH("P050272|I",'CoQ Register'!$S:$S,0)),"—")</f>
        <v/>
      </c>
      <c r="O43" s="6" t="inlineStr">
        <is>
          <t>—</t>
        </is>
      </c>
      <c r="P43" s="2" t="inlineStr">
        <is>
          <t>P050272|I</t>
        </is>
      </c>
      <c r="Q43" s="7" t="inlineStr">
        <is>
          <t>registered — issued with the legacy series on 15.05.2026</t>
        </is>
      </c>
    </row>
    <row r="44">
      <c r="A44" s="2">
        <f>IF(C44="yes",COUNT(A$1:A43)+1,"")</f>
        <v/>
      </c>
      <c r="B44" s="3">
        <f>IF(A44&lt;&gt;"","iCoA-PP_26-"&amp;TEXT(A44,"000"),IF(C44="n/a","not needed","— at issue —"))</f>
        <v/>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CLE072501</t>
        </is>
      </c>
      <c r="J44" s="2" t="inlineStr">
        <is>
          <t>P050282</t>
        </is>
      </c>
      <c r="K44" s="2" t="inlineStr">
        <is>
          <t>Clemosa a bud</t>
        </is>
      </c>
      <c r="L44" s="2" t="inlineStr">
        <is>
          <t>Ident A + Ident B + Foreign matter</t>
        </is>
      </c>
      <c r="M44" s="6" t="inlineStr">
        <is>
          <t>—</t>
        </is>
      </c>
      <c r="N44" s="2">
        <f>IFERROR(INDEX('CoQ Register'!$B:$B,MATCH("P050282|I",'CoQ Register'!$S:$S,0)),"—")</f>
        <v/>
      </c>
      <c r="O44" s="2" t="inlineStr">
        <is>
          <t>iCoA-PP-2025-0019</t>
        </is>
      </c>
      <c r="P44" s="2" t="inlineStr">
        <is>
          <t>P050282|I</t>
        </is>
      </c>
      <c r="Q44" s="7" t="inlineStr">
        <is>
          <t>registered — issued with the legacy series on 15.05.2026</t>
        </is>
      </c>
    </row>
    <row r="45">
      <c r="A45" s="2">
        <f>IF(C45="yes",COUNT(A$1:A44)+1,"")</f>
        <v/>
      </c>
      <c r="B45" s="3">
        <f>IF(A45&lt;&gt;"","iCoA-PP_26-"&amp;TEXT(A45,"000"),IF(C45="n/a","not needed","— at issue —"))</f>
        <v/>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GP072501/1</t>
        </is>
      </c>
      <c r="J45" s="2" t="inlineStr">
        <is>
          <t>P050292</t>
        </is>
      </c>
      <c r="K45" s="2" t="inlineStr">
        <is>
          <t>Grape Pie</t>
        </is>
      </c>
      <c r="L45" s="2" t="inlineStr">
        <is>
          <t>Ident A + Ident B + Foreign matter</t>
        </is>
      </c>
      <c r="M45" s="6" t="inlineStr">
        <is>
          <t>—</t>
        </is>
      </c>
      <c r="N45" s="2">
        <f>IFERROR(INDEX('CoQ Register'!$B:$B,MATCH("P050292|I",'CoQ Register'!$S:$S,0)),"—")</f>
        <v/>
      </c>
      <c r="O45" s="6" t="inlineStr">
        <is>
          <t>—</t>
        </is>
      </c>
      <c r="P45" s="2" t="inlineStr">
        <is>
          <t>P050292|I</t>
        </is>
      </c>
      <c r="Q45" s="7" t="inlineStr">
        <is>
          <t>registered — issued with the legacy series on 15.05.2026</t>
        </is>
      </c>
    </row>
    <row r="46">
      <c r="A46" s="2">
        <f>IF(C46="yes",COUNT(A$1:A45)+1,"")</f>
        <v/>
      </c>
      <c r="B46" s="3">
        <f>IF(A46&lt;&gt;"","iCoA-PP_26-"&amp;TEXT(A46,"000"),IF(C46="n/a","not needed","— at issue —"))</f>
        <v/>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GP072501/2</t>
        </is>
      </c>
      <c r="J46" s="2" t="inlineStr">
        <is>
          <t>P050302</t>
        </is>
      </c>
      <c r="K46" s="2" t="inlineStr">
        <is>
          <t>Grape Pie</t>
        </is>
      </c>
      <c r="L46" s="2" t="inlineStr">
        <is>
          <t>Ident A + Ident B + Foreign matter</t>
        </is>
      </c>
      <c r="M46" s="6" t="inlineStr">
        <is>
          <t>—</t>
        </is>
      </c>
      <c r="N46" s="2">
        <f>IFERROR(INDEX('CoQ Register'!$B:$B,MATCH("P050302|I",'CoQ Register'!$S:$S,0)),"—")</f>
        <v/>
      </c>
      <c r="O46" s="2" t="inlineStr">
        <is>
          <t>iCoA-PP-2025-0020</t>
        </is>
      </c>
      <c r="P46" s="2" t="inlineStr">
        <is>
          <t>P050302|I</t>
        </is>
      </c>
      <c r="Q46" s="7" t="inlineStr">
        <is>
          <t>registered — issued with the legacy series on 15.05.2026</t>
        </is>
      </c>
    </row>
    <row r="47">
      <c r="A47" s="2">
        <f>IF(C47="yes",COUNT(A$1:A46)+1,"")</f>
        <v/>
      </c>
      <c r="B47" s="3">
        <f>IF(A47&lt;&gt;"","iCoA-PP_26-"&amp;TEXT(A47,"000"),IF(C47="n/a","not needed","— at issue —"))</f>
        <v/>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GP082501/1</t>
        </is>
      </c>
      <c r="J47" s="2" t="inlineStr">
        <is>
          <t>P050312</t>
        </is>
      </c>
      <c r="K47" s="2" t="inlineStr">
        <is>
          <t>Grape Pie</t>
        </is>
      </c>
      <c r="L47" s="2" t="inlineStr">
        <is>
          <t>Ident A + Ident B + Foreign matter</t>
        </is>
      </c>
      <c r="M47" s="6" t="inlineStr">
        <is>
          <t>—</t>
        </is>
      </c>
      <c r="N47" s="2">
        <f>IFERROR(INDEX('CoQ Register'!$B:$B,MATCH("P050312|I",'CoQ Register'!$S:$S,0)),"—")</f>
        <v/>
      </c>
      <c r="O47" s="2" t="inlineStr">
        <is>
          <t>iCoA-PP-2025-0021</t>
        </is>
      </c>
      <c r="P47" s="2" t="inlineStr">
        <is>
          <t>P050312|I</t>
        </is>
      </c>
      <c r="Q47" s="7" t="inlineStr">
        <is>
          <t>registered — issued with the legacy series on 15.05.2026</t>
        </is>
      </c>
    </row>
    <row r="48">
      <c r="A48" s="2">
        <f>IF(C48="yes",COUNT(A$1:A47)+1,"")</f>
        <v/>
      </c>
      <c r="B48" s="3">
        <f>IF(A48&lt;&gt;"","iCoA-PP_26-"&amp;TEXT(A48,"000"),IF(C48="n/a","not needed","— at issue —"))</f>
        <v/>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GP082501/2</t>
        </is>
      </c>
      <c r="J48" s="2" t="inlineStr">
        <is>
          <t>P050322</t>
        </is>
      </c>
      <c r="K48" s="2" t="inlineStr">
        <is>
          <t>Grape Pie</t>
        </is>
      </c>
      <c r="L48" s="2" t="inlineStr">
        <is>
          <t>Ident A + Ident B + Foreign matter</t>
        </is>
      </c>
      <c r="M48" s="6" t="inlineStr">
        <is>
          <t>—</t>
        </is>
      </c>
      <c r="N48" s="2">
        <f>IFERROR(INDEX('CoQ Register'!$B:$B,MATCH("P050322|I",'CoQ Register'!$S:$S,0)),"—")</f>
        <v/>
      </c>
      <c r="O48" s="2" t="inlineStr">
        <is>
          <t>iCoA-PP-2025-0022</t>
        </is>
      </c>
      <c r="P48" s="2" t="inlineStr">
        <is>
          <t>P050322|I</t>
        </is>
      </c>
      <c r="Q48" s="7" t="inlineStr">
        <is>
          <t>registered — issued with the legacy series on 15.05.2026</t>
        </is>
      </c>
    </row>
    <row r="49">
      <c r="A49" s="2">
        <f>IF(C49="yes",COUNT(A$1:A48)+1,"")</f>
        <v/>
      </c>
      <c r="B49" s="3">
        <f>IF(A49&lt;&gt;"","iCoA-PP_26-"&amp;TEXT(A49,"000"),IF(C49="n/a","not needed","— at issue —"))</f>
        <v/>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WC082501</t>
        </is>
      </c>
      <c r="J49" s="2" t="inlineStr">
        <is>
          <t>P060012</t>
        </is>
      </c>
      <c r="K49" s="2" t="inlineStr">
        <is>
          <t>Wedding Crasher</t>
        </is>
      </c>
      <c r="L49" s="2" t="inlineStr">
        <is>
          <t>Ident A + Ident B + Foreign matter</t>
        </is>
      </c>
      <c r="M49" s="6" t="inlineStr">
        <is>
          <t>—</t>
        </is>
      </c>
      <c r="N49" s="2">
        <f>IFERROR(INDEX('CoQ Register'!$B:$B,MATCH("P060012|I",'CoQ Register'!$S:$S,0)),"—")</f>
        <v/>
      </c>
      <c r="O49" s="2" t="inlineStr">
        <is>
          <t>iCoA-PP-2026-0001</t>
        </is>
      </c>
      <c r="P49" s="2" t="inlineStr">
        <is>
          <t>P060012|I</t>
        </is>
      </c>
      <c r="Q49" s="7" t="inlineStr">
        <is>
          <t>registered — issued with the legacy series on 15.05.2026</t>
        </is>
      </c>
    </row>
    <row r="50">
      <c r="A50" s="2">
        <f>IF(C50="yes",COUNT(A$1:A49)+1,"")</f>
        <v/>
      </c>
      <c r="B50" s="3">
        <f>IF(A50&lt;&gt;"","iCoA-PP_26-"&amp;TEXT(A50,"000"),IF(C50="n/a","not needed","— at issue —"))</f>
        <v/>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CJ082501/1</t>
        </is>
      </c>
      <c r="J50" s="2" t="inlineStr">
        <is>
          <t>P060022</t>
        </is>
      </c>
      <c r="K50" s="2" t="inlineStr">
        <is>
          <t>Cap Junky</t>
        </is>
      </c>
      <c r="L50" s="2" t="inlineStr">
        <is>
          <t>Ident A + Ident B + Foreign matter</t>
        </is>
      </c>
      <c r="M50" s="6" t="inlineStr">
        <is>
          <t>—</t>
        </is>
      </c>
      <c r="N50" s="2">
        <f>IFERROR(INDEX('CoQ Register'!$B:$B,MATCH("P060022|I",'CoQ Register'!$S:$S,0)),"—")</f>
        <v/>
      </c>
      <c r="O50" s="2" t="inlineStr">
        <is>
          <t>iCoA-PP-2026-0002</t>
        </is>
      </c>
      <c r="P50" s="2" t="inlineStr">
        <is>
          <t>P060022|I</t>
        </is>
      </c>
      <c r="Q50" s="7" t="inlineStr">
        <is>
          <t>registered — issued with the legacy series on 15.05.2026</t>
        </is>
      </c>
    </row>
    <row r="51">
      <c r="A51" s="2">
        <f>IF(C51="yes",COUNT(A$1:A50)+1,"")</f>
        <v/>
      </c>
      <c r="B51" s="3">
        <f>IF(A51&lt;&gt;"","iCoA-PP_26-"&amp;TEXT(A51,"000"),IF(C51="n/a","not needed","— at issue —"))</f>
        <v/>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CJ082501/2</t>
        </is>
      </c>
      <c r="J51" s="2" t="inlineStr">
        <is>
          <t>P060032</t>
        </is>
      </c>
      <c r="K51" s="2" t="inlineStr">
        <is>
          <t>Cap Junky</t>
        </is>
      </c>
      <c r="L51" s="2" t="inlineStr">
        <is>
          <t>Ident A + Ident B + Foreign matter</t>
        </is>
      </c>
      <c r="M51" s="6" t="inlineStr">
        <is>
          <t>—</t>
        </is>
      </c>
      <c r="N51" s="2">
        <f>IFERROR(INDEX('CoQ Register'!$B:$B,MATCH("P060032|I",'CoQ Register'!$S:$S,0)),"—")</f>
        <v/>
      </c>
      <c r="O51" s="2" t="inlineStr">
        <is>
          <t>iCoA-PP-2026-0003</t>
        </is>
      </c>
      <c r="P51" s="2" t="inlineStr">
        <is>
          <t>P060032|I</t>
        </is>
      </c>
      <c r="Q51" s="7" t="inlineStr">
        <is>
          <t>registered — issued with the legacy series on 15.05.2026</t>
        </is>
      </c>
    </row>
    <row r="52">
      <c r="A52" s="2">
        <f>IF(C52="yes",COUNT(A$1:A51)+1,"")</f>
        <v/>
      </c>
      <c r="B52" s="3">
        <f>IF(A52&lt;&gt;"","iCoA-PP_26-"&amp;TEXT(A52,"000"),IF(C52="n/a","not needed","— at issue —"))</f>
        <v/>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OPM092501</t>
        </is>
      </c>
      <c r="J52" s="2" t="inlineStr">
        <is>
          <t>P060042</t>
        </is>
      </c>
      <c r="K52" s="2" t="inlineStr">
        <is>
          <t>Orange Punch Mimosa</t>
        </is>
      </c>
      <c r="L52" s="2" t="inlineStr">
        <is>
          <t>Ident A + Ident B + Foreign matter</t>
        </is>
      </c>
      <c r="M52" s="6" t="inlineStr">
        <is>
          <t>—</t>
        </is>
      </c>
      <c r="N52" s="2">
        <f>IFERROR(INDEX('CoQ Register'!$B:$B,MATCH("P060042|I",'CoQ Register'!$S:$S,0)),"—")</f>
        <v/>
      </c>
      <c r="O52" s="2" t="inlineStr">
        <is>
          <t>iCoA-PP-2026-0004</t>
        </is>
      </c>
      <c r="P52" s="2" t="inlineStr">
        <is>
          <t>P060042|I</t>
        </is>
      </c>
      <c r="Q52" s="7" t="inlineStr">
        <is>
          <t>registered — issued with the legacy series on 15.05.2026</t>
        </is>
      </c>
    </row>
    <row r="53">
      <c r="A53" s="2">
        <f>IF(C53="yes",COUNT(A$1:A52)+1,"")</f>
        <v/>
      </c>
      <c r="B53" s="3">
        <f>IF(A53&lt;&gt;"","iCoA-PP_26-"&amp;TEXT(A53,"000"),IF(C53="n/a","not needed","— at issue —"))</f>
        <v/>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AB092501</t>
        </is>
      </c>
      <c r="J53" s="2" t="inlineStr">
        <is>
          <t>P060052</t>
        </is>
      </c>
      <c r="K53" s="2" t="inlineStr">
        <is>
          <t>Apple and Banana</t>
        </is>
      </c>
      <c r="L53" s="2" t="inlineStr">
        <is>
          <t>Ident A + Ident B + Foreign matter</t>
        </is>
      </c>
      <c r="M53" s="6" t="inlineStr">
        <is>
          <t>—</t>
        </is>
      </c>
      <c r="N53" s="2">
        <f>IFERROR(INDEX('CoQ Register'!$B:$B,MATCH("P060052|I",'CoQ Register'!$S:$S,0)),"—")</f>
        <v/>
      </c>
      <c r="O53" s="6" t="inlineStr">
        <is>
          <t>—</t>
        </is>
      </c>
      <c r="P53" s="2" t="inlineStr">
        <is>
          <t>P060052|I</t>
        </is>
      </c>
      <c r="Q53" s="7" t="inlineStr">
        <is>
          <t>registered — issued with the legacy series on 15.05.2026</t>
        </is>
      </c>
    </row>
    <row r="54">
      <c r="A54" s="2">
        <f>IF(C54="yes",COUNT(A$1:A53)+1,"")</f>
        <v/>
      </c>
      <c r="B54" s="3">
        <f>IF(A54&lt;&gt;"","iCoA-PP_26-"&amp;TEXT(A54,"000"),IF(C54="n/a","not needed","— at issue —"))</f>
        <v/>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PM092501</t>
        </is>
      </c>
      <c r="J54" s="2" t="inlineStr">
        <is>
          <t>P060062</t>
        </is>
      </c>
      <c r="K54" s="2" t="inlineStr">
        <is>
          <t>Permanent Market</t>
        </is>
      </c>
      <c r="L54" s="2" t="inlineStr">
        <is>
          <t>Ident A + Ident B + Foreign matter</t>
        </is>
      </c>
      <c r="M54" s="6" t="inlineStr">
        <is>
          <t>—</t>
        </is>
      </c>
      <c r="N54" s="2">
        <f>IFERROR(INDEX('CoQ Register'!$B:$B,MATCH("P060062|I",'CoQ Register'!$S:$S,0)),"—")</f>
        <v/>
      </c>
      <c r="O54" s="2" t="inlineStr">
        <is>
          <t>iCoA-PP-2026-0005</t>
        </is>
      </c>
      <c r="P54" s="2" t="inlineStr">
        <is>
          <t>P060062|I</t>
        </is>
      </c>
      <c r="Q54" s="7" t="inlineStr">
        <is>
          <t>registered — issued with the legacy series on 15.05.2026</t>
        </is>
      </c>
    </row>
    <row r="55">
      <c r="A55" s="2">
        <f>IF(C55="yes",COUNT(A$1:A54)+1,"")</f>
        <v/>
      </c>
      <c r="B55" s="3">
        <f>IF(A55&lt;&gt;"","iCoA-PP_26-"&amp;TEXT(A55,"000"),IF(C55="n/a","not needed","— at issue —"))</f>
        <v/>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CJ092501</t>
        </is>
      </c>
      <c r="J55" s="2" t="inlineStr">
        <is>
          <t>P060072</t>
        </is>
      </c>
      <c r="K55" s="2" t="inlineStr">
        <is>
          <t>Cap Junky</t>
        </is>
      </c>
      <c r="L55" s="2" t="inlineStr">
        <is>
          <t>Ident A + Ident B + Foreign matter</t>
        </is>
      </c>
      <c r="M55" s="6" t="inlineStr">
        <is>
          <t>—</t>
        </is>
      </c>
      <c r="N55" s="2">
        <f>IFERROR(INDEX('CoQ Register'!$B:$B,MATCH("P060072|I",'CoQ Register'!$S:$S,0)),"—")</f>
        <v/>
      </c>
      <c r="O55" s="2" t="inlineStr">
        <is>
          <t>iCoA-PP-2026-0006</t>
        </is>
      </c>
      <c r="P55" s="2" t="inlineStr">
        <is>
          <t>P060072|I</t>
        </is>
      </c>
      <c r="Q55" s="7" t="inlineStr">
        <is>
          <t>registered — issued with the legacy series on 15.05.2026</t>
        </is>
      </c>
    </row>
    <row r="56">
      <c r="A56" s="2">
        <f>IF(C56="yes",COUNT(A$1:A55)+1,"")</f>
        <v/>
      </c>
      <c r="B56" s="3">
        <f>IF(A56&lt;&gt;"","iCoA-PP_26-"&amp;TEXT(A56,"000"),IF(C56="n/a","not needed","— at issue —"))</f>
        <v/>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SJ0925021</t>
        </is>
      </c>
      <c r="J56" s="2" t="inlineStr">
        <is>
          <t>P060082</t>
        </is>
      </c>
      <c r="K56" s="2" t="inlineStr"/>
      <c r="L56" s="2" t="inlineStr">
        <is>
          <t>Ident A + Ident B + Foreign matter</t>
        </is>
      </c>
      <c r="M56" s="6" t="inlineStr">
        <is>
          <t>—</t>
        </is>
      </c>
      <c r="N56" s="2">
        <f>IFERROR(INDEX('CoQ Register'!$B:$B,MATCH("P060082|I",'CoQ Register'!$S:$S,0)),"—")</f>
        <v/>
      </c>
      <c r="O56" s="2" t="inlineStr">
        <is>
          <t>iCoA-PP-2026-0007</t>
        </is>
      </c>
      <c r="P56" s="2" t="inlineStr">
        <is>
          <t>P060082|I</t>
        </is>
      </c>
      <c r="Q56" s="7" t="inlineStr">
        <is>
          <t>registered — issued with the legacy series on 15.05.2026</t>
        </is>
      </c>
    </row>
    <row r="57">
      <c r="A57" s="2">
        <f>IF(C57="yes",COUNT(A$1:A56)+1,"")</f>
        <v/>
      </c>
      <c r="B57" s="3">
        <f>IF(A57&lt;&gt;"","iCoA-PP_26-"&amp;TEXT(A57,"000"),IF(C57="n/a","not needed","— at issue —"))</f>
        <v/>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GP092501</t>
        </is>
      </c>
      <c r="J57" s="2" t="inlineStr">
        <is>
          <t>P060092</t>
        </is>
      </c>
      <c r="K57" s="2" t="inlineStr">
        <is>
          <t>Grape Pie</t>
        </is>
      </c>
      <c r="L57" s="2" t="inlineStr">
        <is>
          <t>Ident A + Ident B + Foreign matter</t>
        </is>
      </c>
      <c r="M57" s="6" t="inlineStr">
        <is>
          <t>—</t>
        </is>
      </c>
      <c r="N57" s="2">
        <f>IFERROR(INDEX('CoQ Register'!$B:$B,MATCH("P060092|I",'CoQ Register'!$S:$S,0)),"—")</f>
        <v/>
      </c>
      <c r="O57" s="2" t="inlineStr">
        <is>
          <t>iCoA-PP-2026-0008</t>
        </is>
      </c>
      <c r="P57" s="2" t="inlineStr">
        <is>
          <t>P060092|I</t>
        </is>
      </c>
      <c r="Q57" s="7" t="inlineStr">
        <is>
          <t>registered — issued with the legacy series on 15.05.2026</t>
        </is>
      </c>
    </row>
    <row r="58">
      <c r="A58" s="2">
        <f>IF(C58="yes",COUNT(A$1:A57)+1,"")</f>
        <v/>
      </c>
      <c r="B58" s="3">
        <f>IF(A58&lt;&gt;"","iCoA-PP_26-"&amp;TEXT(A58,"000"),IF(C58="n/a","not needed","— at issue —"))</f>
        <v/>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WED102501</t>
        </is>
      </c>
      <c r="J58" s="2" t="inlineStr">
        <is>
          <t>P060102</t>
        </is>
      </c>
      <c r="K58" s="2" t="inlineStr">
        <is>
          <t>Wedding Cake</t>
        </is>
      </c>
      <c r="L58" s="2" t="inlineStr">
        <is>
          <t>Ident A + Ident B + Foreign matter</t>
        </is>
      </c>
      <c r="M58" s="6" t="inlineStr">
        <is>
          <t>—</t>
        </is>
      </c>
      <c r="N58" s="2">
        <f>IFERROR(INDEX('CoQ Register'!$B:$B,MATCH("P060102|I",'CoQ Register'!$S:$S,0)),"—")</f>
        <v/>
      </c>
      <c r="O58" s="6" t="inlineStr">
        <is>
          <t>—</t>
        </is>
      </c>
      <c r="P58" s="2" t="inlineStr">
        <is>
          <t>P060102|I</t>
        </is>
      </c>
      <c r="Q58" s="7" t="inlineStr">
        <is>
          <t>registered — issued with the legacy series on 15.05.2026</t>
        </is>
      </c>
    </row>
    <row r="59">
      <c r="A59" s="2">
        <f>IF(C59="yes",COUNT(A$1:A58)+1,"")</f>
        <v/>
      </c>
      <c r="B59" s="3">
        <f>IF(A59&lt;&gt;"","iCoA-PP_26-"&amp;TEXT(A59,"000"),IF(C59="n/a","not needed","— at issue —"))</f>
        <v/>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GRC102501</t>
        </is>
      </c>
      <c r="J59" s="2" t="inlineStr">
        <is>
          <t>P060142</t>
        </is>
      </c>
      <c r="K59" s="2" t="inlineStr">
        <is>
          <t>Graps &amp; Creme</t>
        </is>
      </c>
      <c r="L59" s="2" t="inlineStr">
        <is>
          <t>Ident A + Ident B + Foreign matter</t>
        </is>
      </c>
      <c r="M59" s="6" t="inlineStr">
        <is>
          <t>—</t>
        </is>
      </c>
      <c r="N59" s="2">
        <f>IFERROR(INDEX('CoQ Register'!$B:$B,MATCH("P060142|I",'CoQ Register'!$S:$S,0)),"—")</f>
        <v/>
      </c>
      <c r="O59" s="6" t="inlineStr">
        <is>
          <t>—</t>
        </is>
      </c>
      <c r="P59" s="2" t="inlineStr">
        <is>
          <t>P060142|I</t>
        </is>
      </c>
      <c r="Q59" s="7" t="inlineStr">
        <is>
          <t>registered — issued with the legacy series on 15.05.2026</t>
        </is>
      </c>
    </row>
    <row r="60">
      <c r="A60" s="2">
        <f>IF(C60="yes",COUNT(A$1:A59)+1,"")</f>
        <v/>
      </c>
      <c r="B60" s="3">
        <f>IF(A60&lt;&gt;"","iCoA-PP_26-"&amp;TEXT(A60,"000"),IF(C60="n/a","not needed","— at issue —"))</f>
        <v/>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J31102501</t>
        </is>
      </c>
      <c r="J60" s="2" t="inlineStr">
        <is>
          <t>P060152</t>
        </is>
      </c>
      <c r="K60" s="2" t="inlineStr">
        <is>
          <t>Jokerz 31</t>
        </is>
      </c>
      <c r="L60" s="2" t="inlineStr">
        <is>
          <t>Ident A + Ident B + Foreign matter</t>
        </is>
      </c>
      <c r="M60" s="6" t="inlineStr">
        <is>
          <t>—</t>
        </is>
      </c>
      <c r="N60" s="2">
        <f>IFERROR(INDEX('CoQ Register'!$B:$B,MATCH("P060152|I",'CoQ Register'!$S:$S,0)),"—")</f>
        <v/>
      </c>
      <c r="O60" s="2" t="inlineStr">
        <is>
          <t>iCoA-PP-2026-0012</t>
        </is>
      </c>
      <c r="P60" s="2" t="inlineStr">
        <is>
          <t>P060152|I</t>
        </is>
      </c>
      <c r="Q60" s="7" t="inlineStr">
        <is>
          <t>registered — issued with the legacy series on 15.05.2026</t>
        </is>
      </c>
    </row>
    <row r="61">
      <c r="A61" s="2">
        <f>IF(C61="yes",COUNT(A$1:A60)+1,"")</f>
        <v/>
      </c>
      <c r="B61" s="3">
        <f>IF(A61&lt;&gt;"","iCoA-PP_26-"&amp;TEXT(A61,"000"),IF(C61="n/a","not needed","— at issue —"))</f>
        <v/>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SJ102501</t>
        </is>
      </c>
      <c r="J61" s="2" t="inlineStr">
        <is>
          <t>P060162</t>
        </is>
      </c>
      <c r="K61" s="2" t="inlineStr">
        <is>
          <t>Sleepy Joe</t>
        </is>
      </c>
      <c r="L61" s="2" t="inlineStr">
        <is>
          <t>Ident A + Ident B + Foreign matter</t>
        </is>
      </c>
      <c r="M61" s="6" t="inlineStr">
        <is>
          <t>—</t>
        </is>
      </c>
      <c r="N61" s="2">
        <f>IFERROR(INDEX('CoQ Register'!$B:$B,MATCH("P060162|I",'CoQ Register'!$S:$S,0)),"—")</f>
        <v/>
      </c>
      <c r="O61" s="6" t="inlineStr">
        <is>
          <t>—</t>
        </is>
      </c>
      <c r="P61" s="2" t="inlineStr">
        <is>
          <t>P060162|I</t>
        </is>
      </c>
      <c r="Q61" s="7" t="inlineStr">
        <is>
          <t>registered — issued with the legacy series on 15.05.2026</t>
        </is>
      </c>
    </row>
    <row r="62">
      <c r="A62" s="2">
        <f>IF(C62="yes",COUNT(A$1:A61)+1,"")</f>
        <v/>
      </c>
      <c r="B62" s="3">
        <f>IF(A62&lt;&gt;"","iCoA-PP_26-"&amp;TEXT(A62,"000"),IF(C62="n/a","not needed","— at issue —"))</f>
        <v/>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KC102501</t>
        </is>
      </c>
      <c r="J62" s="2" t="inlineStr">
        <is>
          <t>P060172</t>
        </is>
      </c>
      <c r="K62" s="2" t="inlineStr">
        <is>
          <t>Kush Crasher</t>
        </is>
      </c>
      <c r="L62" s="2" t="inlineStr">
        <is>
          <t>Ident A + Ident B + Foreign matter</t>
        </is>
      </c>
      <c r="M62" s="6" t="inlineStr">
        <is>
          <t>—</t>
        </is>
      </c>
      <c r="N62" s="2">
        <f>IFERROR(INDEX('CoQ Register'!$B:$B,MATCH("P060172|I",'CoQ Register'!$S:$S,0)),"—")</f>
        <v/>
      </c>
      <c r="O62" s="2" t="inlineStr">
        <is>
          <t>iCoA-PP-2026-0013</t>
        </is>
      </c>
      <c r="P62" s="2" t="inlineStr">
        <is>
          <t>P060172|I</t>
        </is>
      </c>
      <c r="Q62" s="7" t="inlineStr">
        <is>
          <t>registered — issued with the legacy series on 15.05.2026</t>
        </is>
      </c>
    </row>
    <row r="63">
      <c r="A63" s="2">
        <f>IF(C63="yes",COUNT(A$1:A62)+1,"")</f>
        <v/>
      </c>
      <c r="B63" s="3">
        <f>IF(A63&lt;&gt;"","iCoA-PP_26-"&amp;TEXT(A63,"000"),IF(C63="n/a","not needed","— at issue —"))</f>
        <v/>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GRC102501</t>
        </is>
      </c>
      <c r="J63" s="2" t="inlineStr">
        <is>
          <t>P060182</t>
        </is>
      </c>
      <c r="K63" s="2" t="inlineStr">
        <is>
          <t>Graps &amp; Creme</t>
        </is>
      </c>
      <c r="L63" s="2" t="inlineStr">
        <is>
          <t>Ident A + Ident B + Foreign matter</t>
        </is>
      </c>
      <c r="M63" s="6" t="inlineStr">
        <is>
          <t>—</t>
        </is>
      </c>
      <c r="N63" s="2">
        <f>IFERROR(INDEX('CoQ Register'!$B:$B,MATCH("P060182|I",'CoQ Register'!$S:$S,0)),"—")</f>
        <v/>
      </c>
      <c r="O63" s="2" t="inlineStr">
        <is>
          <t>iCoA-PP-2026-0014</t>
        </is>
      </c>
      <c r="P63" s="2" t="inlineStr">
        <is>
          <t>P060182|I</t>
        </is>
      </c>
      <c r="Q63" s="7" t="inlineStr">
        <is>
          <t>registered — issued with the legacy series on 15.05.2026</t>
        </is>
      </c>
    </row>
    <row r="64">
      <c r="A64" s="2">
        <f>IF(C64="yes",COUNT(A$1:A63)+1,"")</f>
        <v/>
      </c>
      <c r="B64" s="3">
        <f>IF(A64&lt;&gt;"","iCoA-PP_26-"&amp;TEXT(A64,"000"),IF(C64="n/a","not needed","— at issue —"))</f>
        <v/>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SJ112501</t>
        </is>
      </c>
      <c r="J64" s="2" t="inlineStr">
        <is>
          <t>P060192</t>
        </is>
      </c>
      <c r="K64" s="2" t="inlineStr">
        <is>
          <t>Sleepy Joy</t>
        </is>
      </c>
      <c r="L64" s="2" t="inlineStr">
        <is>
          <t>Ident A + Ident B + Foreign matter</t>
        </is>
      </c>
      <c r="M64" s="6" t="inlineStr">
        <is>
          <t>—</t>
        </is>
      </c>
      <c r="N64" s="2">
        <f>IFERROR(INDEX('CoQ Register'!$B:$B,MATCH("P060192|I",'CoQ Register'!$S:$S,0)),"—")</f>
        <v/>
      </c>
      <c r="O64" s="6" t="inlineStr">
        <is>
          <t>—</t>
        </is>
      </c>
      <c r="P64" s="2" t="inlineStr">
        <is>
          <t>P060192|I</t>
        </is>
      </c>
      <c r="Q64" s="7" t="inlineStr">
        <is>
          <t>registered — issued with the legacy series on 15.05.2026</t>
        </is>
      </c>
    </row>
    <row r="65">
      <c r="A65" s="2">
        <f>IF(C65="yes",COUNT(A$1:A64)+1,"")</f>
        <v/>
      </c>
      <c r="B65" s="3">
        <f>IF(A65&lt;&gt;"","iCoA-PP_26-"&amp;TEXT(A65,"000"),IF(C65="n/a","not needed","— at issue —"))</f>
        <v/>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J31112501</t>
        </is>
      </c>
      <c r="J65" s="2" t="inlineStr">
        <is>
          <t>P060202</t>
        </is>
      </c>
      <c r="K65" s="2" t="inlineStr">
        <is>
          <t>Jokerz 31</t>
        </is>
      </c>
      <c r="L65" s="2" t="inlineStr">
        <is>
          <t>Ident A + Ident B + Foreign matter</t>
        </is>
      </c>
      <c r="M65" s="6" t="inlineStr">
        <is>
          <t>—</t>
        </is>
      </c>
      <c r="N65" s="2">
        <f>IFERROR(INDEX('CoQ Register'!$B:$B,MATCH("P060202|I",'CoQ Register'!$S:$S,0)),"—")</f>
        <v/>
      </c>
      <c r="O65" s="6" t="inlineStr">
        <is>
          <t>—</t>
        </is>
      </c>
      <c r="P65" s="2" t="inlineStr">
        <is>
          <t>P060202|I</t>
        </is>
      </c>
      <c r="Q65" s="7" t="inlineStr">
        <is>
          <t>registered — issued with the legacy series on 15.05.2026</t>
        </is>
      </c>
    </row>
    <row r="66">
      <c r="A66" s="2">
        <f>IF(C66="yes",COUNT(A$1:A65)+1,"")</f>
        <v/>
      </c>
      <c r="B66" s="3">
        <f>IF(A66&lt;&gt;"","iCoA-PP_26-"&amp;TEXT(A66,"000"),IF(C66="n/a","not needed","— at issue —"))</f>
        <v/>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legacy</t>
        </is>
      </c>
      <c r="H66" s="2" t="inlineStr">
        <is>
          <t>initial release</t>
        </is>
      </c>
      <c r="I66" s="3" t="inlineStr">
        <is>
          <t>JD112501</t>
        </is>
      </c>
      <c r="J66" s="2" t="inlineStr">
        <is>
          <t>P060212</t>
        </is>
      </c>
      <c r="K66" s="2" t="inlineStr">
        <is>
          <t>Jelly Donutz</t>
        </is>
      </c>
      <c r="L66" s="2" t="inlineStr">
        <is>
          <t>Ident A + Ident B + Foreign matter</t>
        </is>
      </c>
      <c r="M66" s="6" t="inlineStr">
        <is>
          <t>—</t>
        </is>
      </c>
      <c r="N66" s="2">
        <f>IFERROR(INDEX('CoQ Register'!$B:$B,MATCH("P060212|I",'CoQ Register'!$S:$S,0)),"—")</f>
        <v/>
      </c>
      <c r="O66" s="2" t="inlineStr">
        <is>
          <t>iCoA-PP-2026-0015</t>
        </is>
      </c>
      <c r="P66" s="2" t="inlineStr">
        <is>
          <t>P060212|I</t>
        </is>
      </c>
      <c r="Q66" s="7" t="inlineStr">
        <is>
          <t>registered — issued with the legacy series on 15.05.2026</t>
        </is>
      </c>
    </row>
    <row r="67">
      <c r="A67" s="2">
        <f>IF(C67="yes",COUNT(A$1:A66)+1,"")</f>
        <v/>
      </c>
      <c r="B67" s="3">
        <f>IF(A67&lt;&gt;"","iCoA-PP_26-"&amp;TEXT(A67,"000"),IF(C67="n/a","not needed","— at issue —"))</f>
        <v/>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legacy</t>
        </is>
      </c>
      <c r="H67" s="2" t="inlineStr">
        <is>
          <t>initial release</t>
        </is>
      </c>
      <c r="I67" s="3" t="inlineStr">
        <is>
          <t>OPM112501</t>
        </is>
      </c>
      <c r="J67" s="2" t="inlineStr">
        <is>
          <t>P060222</t>
        </is>
      </c>
      <c r="K67" s="2" t="inlineStr">
        <is>
          <t>Orange Punch Mimosa</t>
        </is>
      </c>
      <c r="L67" s="2" t="inlineStr">
        <is>
          <t>Ident A + Ident B + Foreign matter</t>
        </is>
      </c>
      <c r="M67" s="6" t="inlineStr">
        <is>
          <t>—</t>
        </is>
      </c>
      <c r="N67" s="2">
        <f>IFERROR(INDEX('CoQ Register'!$B:$B,MATCH("P060222|I",'CoQ Register'!$S:$S,0)),"—")</f>
        <v/>
      </c>
      <c r="O67" s="6" t="inlineStr">
        <is>
          <t>—</t>
        </is>
      </c>
      <c r="P67" s="2" t="inlineStr">
        <is>
          <t>P060222|I</t>
        </is>
      </c>
      <c r="Q67" s="7" t="inlineStr">
        <is>
          <t>registered — issued with the legacy series on 15.05.2026</t>
        </is>
      </c>
    </row>
    <row r="68">
      <c r="A68" s="2">
        <f>IF(C68="yes",COUNT(A$1:A67)+1,"")</f>
        <v/>
      </c>
      <c r="B68" s="3">
        <f>IF(A68&lt;&gt;"","iCoA-PP_26-"&amp;TEXT(A68,"000"),IF(C68="n/a","not needed","— at issue —"))</f>
        <v/>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legacy</t>
        </is>
      </c>
      <c r="H68" s="2" t="inlineStr">
        <is>
          <t>initial release</t>
        </is>
      </c>
      <c r="I68" s="3" t="inlineStr">
        <is>
          <t>PM112501</t>
        </is>
      </c>
      <c r="J68" s="2" t="inlineStr">
        <is>
          <t>P060232</t>
        </is>
      </c>
      <c r="K68" s="2" t="inlineStr">
        <is>
          <t>Permanent Market</t>
        </is>
      </c>
      <c r="L68" s="2" t="inlineStr">
        <is>
          <t>Ident A + Ident B + Foreign matter</t>
        </is>
      </c>
      <c r="M68" s="6" t="inlineStr">
        <is>
          <t>—</t>
        </is>
      </c>
      <c r="N68" s="2">
        <f>IFERROR(INDEX('CoQ Register'!$B:$B,MATCH("P060232|I",'CoQ Register'!$S:$S,0)),"—")</f>
        <v/>
      </c>
      <c r="O68" s="2" t="inlineStr">
        <is>
          <t>iCoA-PP-2026-0016</t>
        </is>
      </c>
      <c r="P68" s="2" t="inlineStr">
        <is>
          <t>P060232|I</t>
        </is>
      </c>
      <c r="Q68" s="7" t="inlineStr">
        <is>
          <t>registered — issued with the legacy series on 15.05.2026</t>
        </is>
      </c>
    </row>
    <row r="69">
      <c r="A69" s="2">
        <f>IF(C69="yes",COUNT(A$1:A68)+1,"")</f>
        <v/>
      </c>
      <c r="B69" s="3">
        <f>IF(A69&lt;&gt;"","iCoA-PP_26-"&amp;TEXT(A69,"000"),IF(C69="n/a","not needed","— at issue —"))</f>
        <v/>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legacy</t>
        </is>
      </c>
      <c r="H69" s="2" t="inlineStr">
        <is>
          <t>initial release</t>
        </is>
      </c>
      <c r="I69" s="3" t="inlineStr">
        <is>
          <t>OPM122501</t>
        </is>
      </c>
      <c r="J69" s="2" t="inlineStr">
        <is>
          <t>P060242</t>
        </is>
      </c>
      <c r="K69" s="2" t="inlineStr">
        <is>
          <t>Orange Punch Mimosa</t>
        </is>
      </c>
      <c r="L69" s="2" t="inlineStr">
        <is>
          <t>Ident A + Ident B + Foreign matter</t>
        </is>
      </c>
      <c r="M69" s="6" t="inlineStr">
        <is>
          <t>—</t>
        </is>
      </c>
      <c r="N69" s="2">
        <f>IFERROR(INDEX('CoQ Register'!$B:$B,MATCH("P060242|I",'CoQ Register'!$S:$S,0)),"—")</f>
        <v/>
      </c>
      <c r="O69" s="2" t="inlineStr">
        <is>
          <t>iCoA-PP-2026-0017</t>
        </is>
      </c>
      <c r="P69" s="2" t="inlineStr">
        <is>
          <t>P060242|I</t>
        </is>
      </c>
      <c r="Q69" s="7" t="inlineStr">
        <is>
          <t>registered — issued with the legacy series on 15.05.2026</t>
        </is>
      </c>
    </row>
    <row r="70">
      <c r="A70" s="2">
        <f>IF(C70="yes",COUNT(A$1:A69)+1,"")</f>
        <v/>
      </c>
      <c r="B70" s="3">
        <f>IF(A70&lt;&gt;"","iCoA-PP_26-"&amp;TEXT(A70,"000"),IF(C70="n/a","not needed","— at issue —"))</f>
        <v/>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legacy</t>
        </is>
      </c>
      <c r="H70" s="2" t="inlineStr">
        <is>
          <t>initial release</t>
        </is>
      </c>
      <c r="I70" s="3" t="inlineStr">
        <is>
          <t>GG112501</t>
        </is>
      </c>
      <c r="J70" s="2" t="inlineStr">
        <is>
          <t>P060252</t>
        </is>
      </c>
      <c r="K70" s="2" t="inlineStr">
        <is>
          <t>Gorilla Glue</t>
        </is>
      </c>
      <c r="L70" s="2" t="inlineStr">
        <is>
          <t>Ident A + Ident B + Foreign matter</t>
        </is>
      </c>
      <c r="M70" s="6" t="inlineStr">
        <is>
          <t>—</t>
        </is>
      </c>
      <c r="N70" s="2">
        <f>IFERROR(INDEX('CoQ Register'!$B:$B,MATCH("P060252|I",'CoQ Register'!$S:$S,0)),"—")</f>
        <v/>
      </c>
      <c r="O70" s="6" t="inlineStr">
        <is>
          <t>—</t>
        </is>
      </c>
      <c r="P70" s="2" t="inlineStr">
        <is>
          <t>P060252|I</t>
        </is>
      </c>
      <c r="Q70" s="7" t="inlineStr">
        <is>
          <t>registered — issued with the legacy series on 15.05.2026</t>
        </is>
      </c>
    </row>
    <row r="71">
      <c r="A71" s="2">
        <f>IF(C71="yes",COUNT(A$1:A70)+1,"")</f>
        <v/>
      </c>
      <c r="B71" s="3">
        <f>IF(A71&lt;&gt;"","iCoA-PP_26-"&amp;TEXT(A71,"000"),IF(C71="n/a","not needed","— at issue —"))</f>
        <v/>
      </c>
      <c r="C71" s="2" t="inlineStr">
        <is>
          <t>n/a</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IF(A85="","",IF(ISNUMBER(E85),MAX(DATE(2026,6,3),E85),DATE(2026,6,3)))</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IF(A86="","",IF(ISNUMBER(E86),MAX(DATE(2026,6,3),E86),DATE(2026,6,3)))</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IF(A87="","",IF(ISNUMBER(E87),MAX(DATE(2026,6,3),E87),DATE(2026,6,3)))</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IF(A88="","",IF(ISNUMBER(E88),MAX(DATE(2026,6,3),E88),DATE(2026,6,3)))</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IF(A89="","",IF(ISNUMBER(E89),MAX(DATE(2026,6,3),E89),DATE(2026,6,3)))</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IF(A90="","",IF(ISNUMBER(E90),MAX(DATE(2026,6,3),E90),DATE(2026,6,3)))</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IF(A91="","",IF(ISNUMBER(E91),MAX(DATE(2026,6,3),E91),DATE(2026,6,3)))</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IF(A92="","",IF(ISNUMBER(E92),MAX(DATE(2026,6,3),E92),DATE(2026,6,3)))</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IF(A93="","",IF(ISNUMBER(E93),MAX(DATE(2026,6,3),E93),DATE(2026,6,3)))</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IF(A94="","",IF(ISNUMBER(E94),MAX(DATE(2026,6,3),E94),DATE(2026,6,3)))</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IF(A95="","",IF(ISNUMBER(E95),MAX(DATE(2026,6,3),E95),DATE(2026,6,3)))</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IF(A96="","",IF(ISNUMBER(E96),MAX(DATE(2026,6,3),E96),DATE(2026,6,3)))</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IF(A97="","",IF(ISNUMBER(E97),MAX(DATE(2026,6,3),E97),DATE(2026,6,3)))</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IF(A98="","",IF(ISNUMBER(E98),MAX(DATE(2026,6,3),E98),DATE(2026,6,3)))</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IF(A99="","",IF(ISNUMBER(E99),MAX(DATE(2026,6,3),E99),DATE(2026,6,3)))</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IF(A100="","",IF(ISNUMBER(E100),MAX(DATE(2026,6,3),E100),DATE(2026,6,3)))</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IF(A101="","",IF(ISNUMBER(E101),MAX(DATE(2026,6,3),E101),DATE(2026,6,3)))</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IF(A102="","",IF(ISNUMBER(E102),MAX(DATE(2026,6,3),E102),DATE(2026,6,3)))</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IF(A103="","",IF(ISNUMBER(E103),MAX(DATE(2026,6,3),E103),DATE(2026,6,3)))</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IF(A104="","",IF(ISNUMBER(E104),MAX(DATE(2026,6,3),E104),DATE(2026,6,3)))</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IF(A105="","",IF(ISNUMBER(E105),MAX(DATE(2026,6,3),E105),DATE(2026,6,3)))</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IF(A106="","",IF(ISNUMBER(E106),MAX(DATE(2026,6,3),E106),DATE(2026,6,3)))</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IF(A107="","",IF(ISNUMBER(E107),MAX(DATE(2026,6,3),E107),DATE(2026,6,3)))</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IF(A108="","",IF(ISNUMBER(E108),MAX(DATE(2026,6,3),E108),DATE(2026,6,3)))</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IF(A109="","",IF(ISNUMBER(E109),MAX(DATE(2026,6,3),E109),DATE(2026,6,3)))</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IF(A110="","",IF(ISNUMBER(E110),MAX(DATE(2026,6,3),E110),DATE(2026,6,3)))</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IF(A111="","",IF(ISNUMBER(E111),MAX(DATE(2026,6,3),E111),DATE(2026,6,3)))</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IF(A112="","",IF(ISNUMBER(E112),MAX(DATE(2026,6,3),E112),DATE(2026,6,3)))</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IF(A113="","",IF(ISNUMBER(E113),MAX(DATE(2026,6,3),E113),DATE(2026,6,3)))</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IF(A114="","",IF(ISNUMBER(E114),MAX(DATE(2026,6,3),E114),DATE(2026,6,3)))</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IF(A115="","",IF(ISNUMBER(E115),MAX(DATE(2026,6,3),E115),DATE(2026,6,3)))</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IF(A116="","",IF(ISNUMBER(E116),MAX(DATE(2026,6,3),E116),DATE(2026,6,3)))</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IF(A117="","",IF(ISNUMBER(E117),MAX(DATE(2026,6,3),E117),DATE(2026,6,3)))</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IF(A118="","",IF(ISNUMBER(E118),MAX(DATE(2026,6,3),E118),DATE(2026,6,3)))</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IF(A119="","",IF(ISNUMBER(E119),MAX(DATE(2026,6,3),E119),DATE(2026,6,3)))</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IF(A120="","",IF(ISNUMBER(E120),MAX(DATE(2026,6,3),E120),DATE(2026,6,3)))</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IF(A121="","",IF(ISNUMBER(E121),MAX(DATE(2026,6,3),E121),DATE(2026,6,3)))</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IF(A122="","",IF(ISNUMBER(E122),MAX(DATE(2026,6,3),E122),DATE(2026,6,3)))</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IF(A123="","",IF(ISNUMBER(E123),MAX(DATE(2026,6,3),E123),DATE(2026,6,3)))</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IF(A124="","",IF(ISNUMBER(E124),MAX(DATE(2026,6,3),E124),DATE(2026,6,3)))</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IF(A125="","",IF(ISNUMBER(E125),MAX(DATE(2026,6,3),E125),DATE(2026,6,3)))</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IF(A126="","",IF(ISNUMBER(E126),MAX(DATE(2026,6,3),E126),DATE(2026,6,3)))</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IF(A127="","",IF(ISNUMBER(E127),MAX(DATE(2026,6,3),E127),DATE(2026,6,3)))</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IF(A128="","",IF(ISNUMBER(E128),MAX(DATE(2026,6,3),E128),DATE(2026,6,3)))</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IF(A129="","",IF(ISNUMBER(E129),MAX(DATE(2026,6,3),E129),DATE(2026,6,3)))</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IF(A130="","",IF(ISNUMBER(E130),MAX(DATE(2026,6,3),E130),DATE(2026,6,3)))</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IF(A131="","",IF(ISNUMBER(E131),MAX(DATE(2026,6,3),E131),DATE(2026,6,3)))</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IF(A132="","",IF(ISNUMBER(E132),MAX(DATE(2026,6,3),E132),DATE(2026,6,3)))</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IF(A133="","",IF(ISNUMBER(E133),MAX(DATE(2026,6,3),E133),DATE(2026,6,3)))</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IF(A134="","",IF(ISNUMBER(E134),MAX(DATE(2026,6,3),E134),DATE(2026,6,3)))</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IF(A135="","",IF(ISNUMBER(E135),MAX(DATE(2026,6,3),E135),DATE(2026,6,3)))</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IF(A136="","",IF(ISNUMBER(E136),MAX(DATE(2026,6,3),E136),DATE(2026,6,3)))</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IF(A137="","",IF(ISNUMBER(E137),MAX(DATE(2026,6,3),E137),DATE(2026,6,3)))</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IF(A138="","",IF(ISNUMBER(E138),MAX(DATE(2026,6,3),E138),DATE(2026,6,3)))</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IF(A139="","",IF(ISNUMBER(E139),MAX(DATE(2026,6,3),E139),DATE(2026,6,3)))</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IF(A140="","",IF(ISNUMBER(E140),MAX(DATE(2026,6,3),E140),DATE(2026,6,3)))</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IF(A141="","",IF(ISNUMBER(E141),MAX(DATE(2026,6,3),E141),DATE(2026,6,3)))</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IF(A142="","",IF(ISNUMBER(E142),MAX(DATE(2026,6,3),E142),DATE(2026,6,3)))</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IF(A143="","",IF(ISNUMBER(E143),MAX(DATE(2026,6,3),E143),DATE(2026,6,3)))</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IF(A144="","",IF(ISNUMBER(E144),MAX(DATE(2026,6,3),E144),DATE(2026,6,3)))</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IF(A145="","",IF(ISNUMBER(E145),MAX(DATE(2026,6,3),E145),DATE(2026,6,3)))</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IF(A146="","",IF(ISNUMBER(E146),MAX(DATE(2026,6,3),E146),DATE(2026,6,3)))</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IF(A147="","",IF(ISNUMBER(E147),MAX(DATE(2026,6,3),E147),DATE(2026,6,3)))</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IF(A148="","",IF(ISNUMBER(E148),MAX(DATE(2026,6,3),E148),DATE(2026,6,3)))</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IF(A149="","",IF(ISNUMBER(E149),MAX(DATE(2026,6,3),E149),DATE(2026,6,3)))</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IF(A150="","",IF(ISNUMBER(E150),MAX(DATE(2026,6,3),E150),DATE(2026,6,3)))</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IF(A151="","",IF(ISNUMBER(E151),MAX(DATE(2026,6,3),E151),DATE(2026,6,3)))</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IF(A152="","",IF(ISNUMBER(E152),MAX(DATE(2026,6,3),E152),DATE(2026,6,3)))</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IF(A153="","",IF(ISNUMBER(E153),MAX(DATE(2026,6,3),E153),DATE(2026,6,3)))</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IF(A154="","",IF(ISNUMBER(E154),MAX(DATE(2026,6,3),E154),DATE(2026,6,3)))</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IF(A155="","",IF(ISNUMBER(E155),MAX(DATE(2026,6,3),E155),DATE(2026,6,3)))</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IF(A156="","",IF(ISNUMBER(E156),MAX(DATE(2026,6,3),E156),DATE(2026,6,3)))</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IF(A157="","",IF(ISNUMBER(E157),MAX(DATE(2026,6,3),E157),DATE(2026,6,3)))</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IF(A158="","",IF(ISNUMBER(E158),MAX(DATE(2026,6,3),E158),DATE(2026,6,3)))</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Register'!$P:$P,0)),0),0)))</f>
        <v/>
      </c>
      <c r="E2" s="5">
        <f>IF(ISNUMBER(F2),MAX(DATE(2026,6,6),F2+7),DATE(2026,6,6))</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Register'!$P:$P,0)),0),0)))</f>
        <v/>
      </c>
      <c r="E3" s="5">
        <f>IF(ISNUMBER(F3),MAX(DATE(2026,6,6),F3+7),DATE(2026,6,6))</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Register'!$P:$P,0)),0),0)))</f>
        <v/>
      </c>
      <c r="E4" s="5">
        <f>IF(ISNUMBER(F4),MAX(DATE(2026,6,6),F4+7),DATE(2026,6,6))</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Register'!$P:$P,0)),0),0)))</f>
        <v/>
      </c>
      <c r="E5" s="5">
        <f>IF(ISNUMBER(F5),MAX(DATE(2026,6,6),F5+7),DATE(2026,6,6))</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Register'!$P:$P,0)),0),0)))</f>
        <v/>
      </c>
      <c r="E6" s="5">
        <f>IF(ISNUMBER(F6),MAX(DATE(2026,6,6),F6+7),DATE(2026,6,6))</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Register'!$P:$P,0)),0),0)))</f>
        <v/>
      </c>
      <c r="E7" s="5">
        <f>IF(ISNUMBER(F7),MAX(DATE(2026,6,6),F7+7),DATE(2026,6,6))</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Register'!$P:$P,0)),0),0)))</f>
        <v/>
      </c>
      <c r="E8" s="5">
        <f>IF(ISNUMBER(F8),MAX(DATE(2026,6,6),F8+7),DATE(2026,6,6))</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Register'!$P:$P,0)),0),0)))</f>
        <v/>
      </c>
      <c r="E9" s="5">
        <f>IF(ISNUMBER(F9),MAX(DATE(2026,6,6),F9+7),DATE(2026,6,6))</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Register'!$P:$P,0)),0),0)))</f>
        <v/>
      </c>
      <c r="E10" s="5">
        <f>IF(ISNUMBER(F10),MAX(DATE(2026,6,6),F10+7),DATE(2026,6,6))</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Register'!$P:$P,0)),0),0)))</f>
        <v/>
      </c>
      <c r="E11" s="5">
        <f>IF(ISNUMBER(F11),MAX(DATE(2026,6,6),F11+7),DATE(2026,6,6))</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Register'!$P:$P,0)),0),0)))</f>
        <v/>
      </c>
      <c r="E12" s="5">
        <f>IF(ISNUMBER(F12),MAX(DATE(2026,6,6),F12+7),DATE(2026,6,6))</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Register'!$P:$P,0)),0),0)))</f>
        <v/>
      </c>
      <c r="E13" s="5">
        <f>IF(ISNUMBER(F13),MAX(DATE(2026,6,6),F13+7),DATE(2026,6,6))</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Register'!$P:$P,0)),0),0)))</f>
        <v/>
      </c>
      <c r="E14" s="5">
        <f>IF(ISNUMBER(F14),MAX(DATE(2026,6,6),F14+7),DATE(2026,6,6))</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Register'!$P:$P,0)),0),0)))</f>
        <v/>
      </c>
      <c r="E15" s="5">
        <f>IF(ISNUMBER(F15),MAX(DATE(2026,6,6),F15+7),DATE(2026,6,6))</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Register'!$P:$P,0)),0),0)))</f>
        <v/>
      </c>
      <c r="E16" s="5">
        <f>IF(ISNUMBER(F16),MAX(DATE(2026,6,6),F16+7),DATE(2026,6,6))</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Register'!$P:$P,0)),0),0)))</f>
        <v/>
      </c>
      <c r="E17" s="5">
        <f>IF(ISNUMBER(F17),MAX(DATE(2026,6,6),F17+7),DATE(2026,6,6))</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Register'!$P:$P,0)),0),0)))</f>
        <v/>
      </c>
      <c r="E18" s="5">
        <f>IF(ISNUMBER(F18),MAX(DATE(2026,6,6),F18+7),DATE(2026,6,6))</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Register'!$P:$P,0)),0),0)))</f>
        <v/>
      </c>
      <c r="E19" s="5">
        <f>IF(ISNUMBER(F19),MAX(DATE(2026,6,6),F19+7),DATE(2026,6,6))</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Register'!$P:$P,0)),0),0)))</f>
        <v/>
      </c>
      <c r="E20" s="5">
        <f>IF(ISNUMBER(F20),MAX(DATE(2026,6,6),F20+7),DATE(2026,6,6))</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Register'!$P:$P,0)),0),0)))</f>
        <v/>
      </c>
      <c r="E21" s="5">
        <f>IF(ISNUMBER(F21),MAX(DATE(2026,6,6),F21+7),DATE(2026,6,6))</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Register'!$P:$P,0)),0),0)))</f>
        <v/>
      </c>
      <c r="E22" s="5">
        <f>IF(ISNUMBER(F22),MAX(DATE(2026,6,6),F22+7),DATE(2026,6,6))</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Register'!$P:$P,0)),0),0)))</f>
        <v/>
      </c>
      <c r="E23" s="5">
        <f>IF(ISNUMBER(F23),MAX(DATE(2026,6,6),F23+7),DATE(2026,6,6))</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Register'!$P:$P,0)),0),0)))</f>
        <v/>
      </c>
      <c r="E24" s="5">
        <f>IF(ISNUMBER(F24),MAX(DATE(2026,6,6),F24+7),DATE(2026,6,6))</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Register'!$P:$P,0)),0),0)))</f>
        <v/>
      </c>
      <c r="E25" s="5">
        <f>IF(ISNUMBER(F25),MAX(DATE(2026,6,6),F25+7),DATE(2026,6,6))</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Register'!$P:$P,0)),0),0)))</f>
        <v/>
      </c>
      <c r="E26" s="5">
        <f>IF(ISNUMBER(F26),MAX(DATE(2026,6,6),F26+7),DATE(2026,6,6))</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Register'!$P:$P,0)),0),0)))</f>
        <v/>
      </c>
      <c r="E27" s="5">
        <f>IF(ISNUMBER(F27),MAX(DATE(2026,6,6),F27+7),DATE(2026,6,6))</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Register'!$P:$P,0)),0),0)))</f>
        <v/>
      </c>
      <c r="E28" s="5">
        <f>IF(ISNUMBER(F28),MAX(DATE(2026,6,6),F28+7),DATE(2026,6,6))</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Register'!$P:$P,0)),0),0)))</f>
        <v/>
      </c>
      <c r="E29" s="5">
        <f>IF(ISNUMBER(F29),MAX(DATE(2026,6,6),F29+7),DATE(2026,6,6))</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Register'!$P:$P,0)),0),0)))</f>
        <v/>
      </c>
      <c r="E30" s="5">
        <f>IF(ISNUMBER(F30),MAX(DATE(2026,6,6),F30+7),DATE(2026,6,6))</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Register'!$P:$P,0)),0),0)))</f>
        <v/>
      </c>
      <c r="E31" s="5">
        <f>IF(ISNUMBER(F31),MAX(DATE(2026,6,6),F31+7),DATE(2026,6,6))</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Register'!$P:$P,0)),0),0)))</f>
        <v/>
      </c>
      <c r="E32" s="5">
        <f>IF(ISNUMBER(F32),MAX(DATE(2026,6,6),F32+7),DATE(2026,6,6))</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Register'!$P:$P,0)),0),0)))</f>
        <v/>
      </c>
      <c r="E33" s="5">
        <f>IF(ISNUMBER(F33),MAX(DATE(2026,6,6),F33+7),DATE(2026,6,6))</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Register'!$P:$P,0)),0),0)))</f>
        <v/>
      </c>
      <c r="E34" s="5">
        <f>IF(ISNUMBER(F34),MAX(DATE(2026,6,6),F34+7),DATE(2026,6,6))</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Register'!$P:$P,0)),0),0)))</f>
        <v/>
      </c>
      <c r="E35" s="5">
        <f>IF(ISNUMBER(F35),MAX(DATE(2026,6,6),F35+7),DATE(2026,6,6))</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Register'!$P:$P,0)),0),0)))</f>
        <v/>
      </c>
      <c r="E36" s="5">
        <f>IF(ISNUMBER(F36),MAX(DATE(2026,6,6),F36+7),DATE(2026,6,6))</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Register'!$P:$P,0)),0),0)))</f>
        <v/>
      </c>
      <c r="E37" s="5">
        <f>IF(ISNUMBER(F37),MAX(DATE(2026,6,6),F37+7),DATE(2026,6,6))</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Register'!$P:$P,0)),0),0)))</f>
        <v/>
      </c>
      <c r="E38" s="5">
        <f>IF(ISNUMBER(F38),MAX(DATE(2026,6,6),F38+7),DATE(2026,6,6))</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Register'!$P:$P,0)),0),0)))</f>
        <v/>
      </c>
      <c r="E39" s="5">
        <f>IF(ISNUMBER(F39),MAX(DATE(2026,6,6),F39+7),DATE(2026,6,6))</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Register'!$P:$P,0)),0),0)))</f>
        <v/>
      </c>
      <c r="E40" s="5">
        <f>IF(ISNUMBER(F40),MAX(DATE(2026,6,6),F40+7),DATE(2026,6,6))</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Register'!$P:$P,0)),0),0)))</f>
        <v/>
      </c>
      <c r="E41" s="5">
        <f>IF(ISNUMBER(F41),MAX(DATE(2026,6,6),F41+7),DATE(2026,6,6))</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Register'!$P:$P,0)),0),0)))</f>
        <v/>
      </c>
      <c r="E42" s="5">
        <f>IF(ISNUMBER(F42),MAX(DATE(2026,6,6),F42+7),DATE(2026,6,6))</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Register'!$P:$P,0)),0),0)))</f>
        <v/>
      </c>
      <c r="E43" s="5">
        <f>IF(ISNUMBER(F43),MAX(DATE(2026,6,6),F43+7),DATE(2026,6,6))</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Register'!$P:$P,0)),0),0)))</f>
        <v/>
      </c>
      <c r="E44" s="5">
        <f>IF(ISNUMBER(F44),MAX(DATE(2026,6,6),F44+7),DATE(2026,6,6))</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Register'!$P:$P,0)),0),0)))</f>
        <v/>
      </c>
      <c r="E45" s="5">
        <f>IF(ISNUMBER(F45),MAX(DATE(2026,6,6),F45+7),DATE(2026,6,6))</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Register'!$P:$P,0)),0),0)))</f>
        <v/>
      </c>
      <c r="E46" s="5">
        <f>IF(ISNUMBER(F46),MAX(DATE(2026,6,6),F46+7),DATE(2026,6,6))</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Register'!$P:$P,0)),0),0)))</f>
        <v/>
      </c>
      <c r="E47" s="5">
        <f>IF(ISNUMBER(F47),MAX(DATE(2026,6,6),F47+7),DATE(2026,6,6))</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Register'!$P:$P,0)),0),0)))</f>
        <v/>
      </c>
      <c r="E48" s="5">
        <f>IF(ISNUMBER(F48),MAX(DATE(2026,6,6),F48+7),DATE(2026,6,6))</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Register'!$P:$P,0)),0),0)))</f>
        <v/>
      </c>
      <c r="E49" s="5">
        <f>IF(ISNUMBER(F49),MAX(DATE(2026,6,6),F49+7),DATE(2026,6,6))</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Register'!$P:$P,0)),0),0)))</f>
        <v/>
      </c>
      <c r="E50" s="5">
        <f>IF(ISNUMBER(F50),MAX(DATE(2026,6,6),F50+7),DATE(2026,6,6))</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Register'!$P:$P,0)),0),0)))</f>
        <v/>
      </c>
      <c r="E51" s="5">
        <f>IF(ISNUMBER(F51),MAX(DATE(2026,6,6),F51+7),DATE(2026,6,6))</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Register'!$P:$P,0)),0),0)))</f>
        <v/>
      </c>
      <c r="E52" s="5">
        <f>IF(ISNUMBER(F52),MAX(DATE(2026,6,6),F52+7),DATE(2026,6,6))</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Register'!$P:$P,0)),0),0)))</f>
        <v/>
      </c>
      <c r="E53" s="5">
        <f>IF(ISNUMBER(F53),MAX(DATE(2026,6,6),F53+7),DATE(2026,6,6))</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Register'!$P:$P,0)),0),0)))</f>
        <v/>
      </c>
      <c r="E54" s="5">
        <f>IF(ISNUMBER(F54),MAX(DATE(2026,6,6),F54+7),DATE(2026,6,6))</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Register'!$P:$P,0)),0),0)))</f>
        <v/>
      </c>
      <c r="E55" s="5">
        <f>IF(ISNUMBER(F55),MAX(DATE(2026,6,6),F55+7),DATE(2026,6,6))</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Register'!$P:$P,0)),0),0)))</f>
        <v/>
      </c>
      <c r="E56" s="5">
        <f>IF(ISNUMBER(F56),MAX(DATE(2026,6,6),F56+7),DATE(2026,6,6))</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Register'!$P:$P,0)),0),0)))</f>
        <v/>
      </c>
      <c r="E57" s="5">
        <f>IF(ISNUMBER(F57),MAX(DATE(2026,6,6),F57+7),DATE(2026,6,6))</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Register'!$P:$P,0)),0),0)))</f>
        <v/>
      </c>
      <c r="E58" s="5">
        <f>IF(ISNUMBER(F58),MAX(DATE(2026,6,6),F58+7),DATE(2026,6,6))</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Register'!$P:$P,0)),0),0)))</f>
        <v/>
      </c>
      <c r="E59" s="5">
        <f>IF(ISNUMBER(F59),MAX(DATE(2026,6,6),F59+7),DATE(2026,6,6))</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Register'!$P:$P,0)),0),0)))</f>
        <v/>
      </c>
      <c r="E60" s="5">
        <f>IF(ISNUMBER(F60),MAX(DATE(2026,6,6),F60+7),DATE(2026,6,6))</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Register'!$P:$P,0)),0),0)))</f>
        <v/>
      </c>
      <c r="E61" s="5">
        <f>IF(ISNUMBER(F61),MAX(DATE(2026,6,6),F61+7),DATE(2026,6,6))</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Register'!$P:$P,0)),0),0)))</f>
        <v/>
      </c>
      <c r="E62" s="5">
        <f>IF(ISNUMBER(F62),MAX(DATE(2026,6,6),F62+7),DATE(2026,6,6))</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Register'!$P:$P,0)),0),0)))</f>
        <v/>
      </c>
      <c r="E63" s="5">
        <f>IF(ISNUMBER(F63),MAX(DATE(2026,6,6),F63+7),DATE(2026,6,6))</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Register'!$P:$P,0)),0),0)))</f>
        <v/>
      </c>
      <c r="E64" s="5">
        <f>IF(ISNUMBER(F64),MAX(DATE(2026,6,6),F64+7),DATE(2026,6,6))</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Register'!$P:$P,0)),0),0)))</f>
        <v/>
      </c>
      <c r="E65" s="5">
        <f>IF(ISNUMBER(F65),MAX(DATE(2026,6,6),F65+7),DATE(2026,6,6))</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Register'!$P:$P,0)),0),0)))</f>
        <v/>
      </c>
      <c r="E66" s="5">
        <f>IF(ISNUMBER(F66),MAX(DATE(2026,6,6),F66+7),DATE(2026,6,6))</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Register'!$P:$P,0)),0),0)))</f>
        <v/>
      </c>
      <c r="E67" s="5">
        <f>IF(ISNUMBER(F67),MAX(DATE(2026,6,6),F67+7),DATE(2026,6,6))</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Register'!$P:$P,0)),0),0)))</f>
        <v/>
      </c>
      <c r="E68" s="5">
        <f>IF(ISNUMBER(F68),MAX(DATE(2026,6,6),F68+7),DATE(2026,6,6))</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Register'!$P:$P,0)),0),0)))</f>
        <v/>
      </c>
      <c r="E69" s="5">
        <f>IF(ISNUMBER(F69),MAX(DATE(2026,6,6),F69+7),DATE(2026,6,6))</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Register'!$P:$P,0)),0),0)))</f>
        <v/>
      </c>
      <c r="E70" s="5">
        <f>IF(ISNUMBER(F70),MAX(DATE(2026,6,6),F70+7),DATE(2026,6,6))</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Register'!$P:$P,0)),0),0)))</f>
        <v/>
      </c>
      <c r="E71" s="5">
        <f>IF(ISNUMBER(F71),MAX(DATE(2026,6,6),F71+7),DATE(2026,6,6))</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Register'!$P:$P,0)),0),0)))</f>
        <v/>
      </c>
      <c r="E72" s="5">
        <f>IF(ISNUMBER(F72),MAX(DATE(2026,6,6),F72+7),DATE(2026,6,6))</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Register'!$P:$P,0)),0),0)))</f>
        <v/>
      </c>
      <c r="E73" s="5">
        <f>IF(ISNUMBER(F73),MAX(DATE(2026,6,6),F73+7),DATE(2026,6,6))</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Register'!$P:$P,0)),0),0)))</f>
        <v/>
      </c>
      <c r="E74" s="5">
        <f>IF(ISNUMBER(F74),MAX(DATE(2026,6,6),F74+7),DATE(2026,6,6))</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Register'!$P:$P,0)),0),0)))</f>
        <v/>
      </c>
      <c r="E75" s="5">
        <f>IF(ISNUMBER(F75),MAX(DATE(2026,6,6),F75+7),DATE(2026,6,6))</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Register'!$P:$P,0)),0),0)))</f>
        <v/>
      </c>
      <c r="E76" s="5">
        <f>IF(ISNUMBER(F76),MAX(DATE(2026,6,6),F76+7),DATE(2026,6,6))</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Register'!$P:$P,0)),0),0)))</f>
        <v/>
      </c>
      <c r="E77" s="5">
        <f>IF(ISNUMBER(F77),MAX(DATE(2026,6,6),F77+7),DATE(2026,6,6))</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Register'!$P:$P,0)),0),0)))</f>
        <v/>
      </c>
      <c r="E78" s="5">
        <f>IF(ISNUMBER(F78),MAX(DATE(2026,6,6),F78+7),DATE(2026,6,6))</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Register'!$P:$P,0)),0),0)))</f>
        <v/>
      </c>
      <c r="E79" s="5">
        <f>IF(ISNUMBER(F79),MAX(DATE(2026,6,6),F79+7),DATE(2026,6,6))</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Register'!$P:$P,0)),0),0)))</f>
        <v/>
      </c>
      <c r="E80" s="5">
        <f>IF(ISNUMBER(F80),MAX(DATE(2026,6,6),F80+7),DATE(2026,6,6))</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Register'!$P:$P,0)),0),0)))</f>
        <v/>
      </c>
      <c r="E81" s="5">
        <f>IF(ISNUMBER(F81),MAX(DATE(2026,6,6),F81+7),DATE(2026,6,6))</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Register'!$P:$P,0)),0),0)))</f>
        <v/>
      </c>
      <c r="E82" s="5">
        <f>IF(ISNUMBER(F82),MAX(DATE(2026,6,6),F82+7),DATE(2026,6,6))</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Register'!$P:$P,0)),0),0)))</f>
        <v/>
      </c>
      <c r="E83" s="5">
        <f>IF(ISNUMBER(F83),MAX(DATE(2026,6,6),F83+7),DATE(2026,6,6))</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Register'!$P:$P,0)),0),0)))</f>
        <v/>
      </c>
      <c r="E84" s="5">
        <f>IF(ISNUMBER(F84),MAX(DATE(2026,6,6),F84+7),DATE(2026,6,6))</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Register'!$P:$P,0)),0),0)))</f>
        <v/>
      </c>
      <c r="E85" s="5">
        <f>IF(ISNUMBER(F85),MAX(DATE(2026,6,6),F85+7),"at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Register'!$P:$P,0)),0),0)))</f>
        <v/>
      </c>
      <c r="E86" s="5">
        <f>IF(ISNUMBER(F86),MAX(DATE(2026,6,6),F86+7),"at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Register'!$P:$P,0)),0),0)))</f>
        <v/>
      </c>
      <c r="E87" s="5">
        <f>IF(ISNUMBER(F87),MAX(DATE(2026,6,6),F87+7),"at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Register'!$P:$P,0)),0),0)))</f>
        <v/>
      </c>
      <c r="E88" s="5">
        <f>IF(ISNUMBER(F88),MAX(DATE(2026,6,6),F88+7),"at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Register'!$P:$P,0)),0),0)))</f>
        <v/>
      </c>
      <c r="E89" s="5">
        <f>IF(ISNUMBER(F89),MAX(DATE(2026,6,6),F89+7),"at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Register'!$P:$P,0)),0),0)))</f>
        <v/>
      </c>
      <c r="E90" s="5">
        <f>IF(ISNUMBER(F90),MAX(DATE(2026,6,6),F90+7),"at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Register'!$P:$P,0)),0),0)))</f>
        <v/>
      </c>
      <c r="E91" s="5">
        <f>IF(ISNUMBER(F91),MAX(DATE(2026,6,6),F91+7),"at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Register'!$P:$P,0)),0),0)))</f>
        <v/>
      </c>
      <c r="E92" s="5">
        <f>IF(ISNUMBER(F92),MAX(DATE(2026,6,6),F92+7),"at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Register'!$P:$P,0)),0),0)))</f>
        <v/>
      </c>
      <c r="E93" s="5">
        <f>IF(ISNUMBER(F93),MAX(DATE(2026,6,6),F93+7),"at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Register'!$P:$P,0)),0),0)))</f>
        <v/>
      </c>
      <c r="E94" s="5">
        <f>IF(ISNUMBER(F94),MAX(DATE(2026,6,6),F94+7),"at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Register'!$P:$P,0)),0),0)))</f>
        <v/>
      </c>
      <c r="E95" s="5">
        <f>IF(ISNUMBER(F95),MAX(DATE(2026,6,6),F95+7),"at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Register'!$P:$P,0)),0),0)))</f>
        <v/>
      </c>
      <c r="E96" s="5">
        <f>IF(ISNUMBER(F96),MAX(DATE(2026,6,6),F96+7),"at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Register'!$P:$P,0)),0),0)))</f>
        <v/>
      </c>
      <c r="E97" s="5">
        <f>IF(ISNUMBER(F97),MAX(DATE(2026,6,6),F97+7),"at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Register'!$P:$P,0)),0),0)))</f>
        <v/>
      </c>
      <c r="E98" s="5">
        <f>IF(ISNUMBER(F98),MAX(DATE(2026,6,6),F98+7),"at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Register'!$P:$P,0)),0),0)))</f>
        <v/>
      </c>
      <c r="E99" s="5">
        <f>IF(ISNUMBER(F99),MAX(DATE(2026,6,6),F99+7),"at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Register'!$P:$P,0)),0),0)))</f>
        <v/>
      </c>
      <c r="E100" s="5">
        <f>IF(ISNUMBER(F100),MAX(DATE(2026,6,6),F100+7),"at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Register'!$P:$P,0)),0),0)))</f>
        <v/>
      </c>
      <c r="E101" s="5">
        <f>IF(ISNUMBER(F101),MAX(DATE(2026,6,6),F101+7),"at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Register'!$P:$P,0)),0),0)))</f>
        <v/>
      </c>
      <c r="E102" s="5">
        <f>IF(ISNUMBER(F102),MAX(DATE(2026,6,6),F102+7),"at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Register'!$P:$P,0)),0),0)))</f>
        <v/>
      </c>
      <c r="E103" s="5">
        <f>IF(ISNUMBER(F103),MAX(DATE(2026,6,6),F103+7),"at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Register'!$P:$P,0)),0),0)))</f>
        <v/>
      </c>
      <c r="E104" s="5">
        <f>IF(ISNUMBER(F104),MAX(DATE(2026,6,6),F104+7),"at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Register'!$P:$P,0)),0),0)))</f>
        <v/>
      </c>
      <c r="E105" s="5">
        <f>IF(ISNUMBER(F105),MAX(DATE(2026,6,6),F105+7),"at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Register'!$P:$P,0)),0),0)))</f>
        <v/>
      </c>
      <c r="E106" s="5">
        <f>IF(ISNUMBER(F106),MAX(DATE(2026,6,6),F106+7),"at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Register'!$P:$P,0)),0),0)))</f>
        <v/>
      </c>
      <c r="E107" s="5">
        <f>IF(ISNUMBER(F107),MAX(DATE(2026,6,6),F107+7),"at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Register'!$P:$P,0)),0),0)))</f>
        <v/>
      </c>
      <c r="E108" s="5">
        <f>IF(ISNUMBER(F108),MAX(DATE(2026,6,6),F108+7),"at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Register'!$P:$P,0)),0),0)))</f>
        <v/>
      </c>
      <c r="E109" s="5">
        <f>IF(ISNUMBER(F109),MAX(DATE(2026,6,6),F109+7),"at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Register'!$P:$P,0)),0),0)))</f>
        <v/>
      </c>
      <c r="E110" s="5">
        <f>IF(ISNUMBER(F110),MAX(DATE(2026,6,6),F110+7),"at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Register'!$P:$P,0)),0),0)))</f>
        <v/>
      </c>
      <c r="E111" s="5">
        <f>IF(ISNUMBER(F111),MAX(DATE(2026,6,6),F111+7),"at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Register'!$P:$P,0)),0),0)))</f>
        <v/>
      </c>
      <c r="E112" s="5">
        <f>IF(ISNUMBER(F112),MAX(DATE(2026,6,6),F112+7),"at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Register'!$P:$P,0)),0),0)))</f>
        <v/>
      </c>
      <c r="E113" s="5">
        <f>IF(ISNUMBER(F113),MAX(DATE(2026,6,6),F113+7),"at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Register'!$P:$P,0)),0),0)))</f>
        <v/>
      </c>
      <c r="E114" s="5">
        <f>IF(ISNUMBER(F114),MAX(DATE(2026,6,6),F114+7),"at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Register'!$P:$P,0)),0),0)))</f>
        <v/>
      </c>
      <c r="E115" s="5">
        <f>IF(ISNUMBER(F115),MAX(DATE(2026,6,6),F115+7),"at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Register'!$P:$P,0)),0),0)))</f>
        <v/>
      </c>
      <c r="E116" s="5">
        <f>IF(ISNUMBER(F116),MAX(DATE(2026,6,6),F116+7),"at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Register'!$P:$P,0)),0),0)))</f>
        <v/>
      </c>
      <c r="E117" s="5">
        <f>IF(ISNUMBER(F117),MAX(DATE(2026,6,6),F117+7),"at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Register'!$P:$P,0)),0),0)))</f>
        <v/>
      </c>
      <c r="E118" s="5">
        <f>IF(ISNUMBER(F118),MAX(DATE(2026,6,6),F118+7),"at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Register'!$P:$P,0)),0),0)))</f>
        <v/>
      </c>
      <c r="E119" s="5">
        <f>IF(ISNUMBER(F119),MAX(DATE(2026,6,6),F119+7),"at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Register'!$P:$P,0)),0),0)))</f>
        <v/>
      </c>
      <c r="E120" s="5">
        <f>IF(ISNUMBER(F120),MAX(DATE(2026,6,6),F120+7),"at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Register'!$P:$P,0)),0),0)))</f>
        <v/>
      </c>
      <c r="E121" s="5">
        <f>IF(ISNUMBER(F121),MAX(DATE(2026,6,6),F121+7),"at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Register'!$P:$P,0)),0),0)))</f>
        <v/>
      </c>
      <c r="E122" s="5">
        <f>IF(ISNUMBER(F122),MAX(DATE(2026,6,6),F122+7),"at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Register'!$P:$P,0)),0),0)))</f>
        <v/>
      </c>
      <c r="E123" s="5">
        <f>IF(ISNUMBER(F123),MAX(DATE(2026,6,6),F123+7),"at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Register'!$P:$P,0)),0),0)))</f>
        <v/>
      </c>
      <c r="E124" s="5">
        <f>IF(ISNUMBER(F124),MAX(DATE(2026,6,6),F124+7),"at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Register'!$P:$P,0)),0),0)))</f>
        <v/>
      </c>
      <c r="E125" s="5">
        <f>IF(ISNUMBER(F125),MAX(DATE(2026,6,6),F125+7),"at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Register'!$P:$P,0)),0),0)))</f>
        <v/>
      </c>
      <c r="E126" s="5">
        <f>IF(ISNUMBER(F126),MAX(DATE(2026,6,6),F126+7),"at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Register'!$P:$P,0)),0),0)))</f>
        <v/>
      </c>
      <c r="E127" s="5">
        <f>IF(ISNUMBER(F127),MAX(DATE(2026,6,6),F127+7),"at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Register'!$P:$P,0)),0),0)))</f>
        <v/>
      </c>
      <c r="E128" s="5">
        <f>IF(ISNUMBER(F128),MAX(DATE(2026,6,6),F128+7),"at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Register'!$P:$P,0)),0),0)))</f>
        <v/>
      </c>
      <c r="E129" s="5">
        <f>IF(ISNUMBER(F129),MAX(DATE(2026,6,6),F129+7),"at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Register'!$P:$P,0)),0),0)))</f>
        <v/>
      </c>
      <c r="E130" s="5">
        <f>IF(ISNUMBER(F130),MAX(DATE(2026,6,6),F130+7),"at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Register'!$P:$P,0)),0),0)))</f>
        <v/>
      </c>
      <c r="E131" s="5">
        <f>IF(ISNUMBER(F131),MAX(DATE(2026,6,6),F131+7),"at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Register'!$P:$P,0)),0),0)))</f>
        <v/>
      </c>
      <c r="E132" s="5">
        <f>IF(ISNUMBER(F132),MAX(DATE(2026,6,6),F132+7),"at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Register'!$P:$P,0)),0),0)))</f>
        <v/>
      </c>
      <c r="E133" s="5">
        <f>IF(ISNUMBER(F133),MAX(DATE(2026,6,6),F133+7),"at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Register'!$P:$P,0)),0),0)))</f>
        <v/>
      </c>
      <c r="E134" s="5">
        <f>IF(ISNUMBER(F134),MAX(DATE(2026,6,6),F134+7),"at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Register'!$P:$P,0)),0),0)))</f>
        <v/>
      </c>
      <c r="E135" s="5">
        <f>IF(ISNUMBER(F135),MAX(DATE(2026,6,6),F135+7),"at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Register'!$P:$P,0)),0),0)))</f>
        <v/>
      </c>
      <c r="E136" s="5">
        <f>IF(ISNUMBER(F136),MAX(DATE(2026,6,6),F136+7),"at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Register'!$P:$P,0)),0),0)))</f>
        <v/>
      </c>
      <c r="E137" s="5">
        <f>IF(ISNUMBER(F137),MAX(DATE(2026,6,6),F137+7),"at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Register'!$P:$P,0)),0),0)))</f>
        <v/>
      </c>
      <c r="E138" s="5">
        <f>IF(ISNUMBER(F138),MAX(DATE(2026,6,6),F138+7),"at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Register'!$P:$P,0)),0),0)))</f>
        <v/>
      </c>
      <c r="E139" s="5">
        <f>IF(ISNUMBER(F139),MAX(DATE(2026,6,6),F139+7),"at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Register'!$P:$P,0)),0),0)))</f>
        <v/>
      </c>
      <c r="E140" s="5">
        <f>IF(ISNUMBER(F140),MAX(DATE(2026,6,6),F140+7),"at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Register'!$P:$P,0)),0),0)))</f>
        <v/>
      </c>
      <c r="E141" s="5">
        <f>IF(ISNUMBER(F141),MAX(DATE(2026,6,6),F141+7),"at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Register'!$P:$P,0)),0),0)))</f>
        <v/>
      </c>
      <c r="E142" s="5">
        <f>IF(ISNUMBER(F142),MAX(DATE(2026,6,6),F142+7),"at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Register'!$P:$P,0)),0),0)))</f>
        <v/>
      </c>
      <c r="E143" s="5">
        <f>IF(ISNUMBER(F143),MAX(DATE(2026,6,6),F143+7),"at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Register'!$P:$P,0)),0),0)))</f>
        <v/>
      </c>
      <c r="E144" s="5">
        <f>IF(ISNUMBER(F144),MAX(DATE(2026,6,6),F144+7),"at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Register'!$P:$P,0)),0),0)))</f>
        <v/>
      </c>
      <c r="E145" s="5">
        <f>IF(ISNUMBER(F145),MAX(DATE(2026,6,6),F145+7),"at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Register'!$P:$P,0)),0),0)))</f>
        <v/>
      </c>
      <c r="E146" s="5">
        <f>IF(ISNUMBER(F146),MAX(DATE(2026,6,6),F146+7),"at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Register'!$P:$P,0)),0),0)))</f>
        <v/>
      </c>
      <c r="E147" s="5">
        <f>IF(ISNUMBER(F147),MAX(DATE(2026,6,6),F147+7),"at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Register'!$P:$P,0)),0),0)))</f>
        <v/>
      </c>
      <c r="E148" s="5">
        <f>IF(ISNUMBER(F148),MAX(DATE(2026,6,6),F148+7),"at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Register'!$P:$P,0)),0),0)))</f>
        <v/>
      </c>
      <c r="E149" s="5">
        <f>IF(ISNUMBER(F149),MAX(DATE(2026,6,6),F149+7),"at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Register'!$P:$P,0)),0),0)))</f>
        <v/>
      </c>
      <c r="E150" s="5">
        <f>IF(ISNUMBER(F150),MAX(DATE(2026,6,6),F150+7),"at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Register'!$P:$P,0)),0),0)))</f>
        <v/>
      </c>
      <c r="E151" s="5">
        <f>IF(ISNUMBER(F151),MAX(DATE(2026,6,6),F151+7),"at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Register'!$P:$P,0)),0),0)))</f>
        <v/>
      </c>
      <c r="E152" s="5">
        <f>IF(ISNUMBER(F152),MAX(DATE(2026,6,6),F152+7),"at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Register'!$P:$P,0)),0),0)))</f>
        <v/>
      </c>
      <c r="E153" s="5">
        <f>IF(ISNUMBER(F153),MAX(DATE(2026,6,6),F153+7),"at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Register'!$P:$P,0)),0),0)))</f>
        <v/>
      </c>
      <c r="E154" s="5">
        <f>IF(ISNUMBER(F154),MAX(DATE(2026,6,6),F154+7),"at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Register'!$P:$P,0)),0),0)))</f>
        <v/>
      </c>
      <c r="E155" s="5">
        <f>IF(ISNUMBER(F155),MAX(DATE(2026,6,6),F155+7),"at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Register'!$P:$P,0)),0),0)))</f>
        <v/>
      </c>
      <c r="E156" s="5">
        <f>IF(ISNUMBER(F156),MAX(DATE(2026,6,6),F156+7),"at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Register'!$P:$P,0)),0),0)))</f>
        <v/>
      </c>
      <c r="E157" s="5">
        <f>IF(ISNUMBER(F157),MAX(DATE(2026,6,6),F157+7),"at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Register'!$P:$P,0)),0),0)))</f>
        <v/>
      </c>
      <c r="E158" s="5">
        <f>IF(ISNUMBER(F158),MAX(DATE(2026,6,6),F158+7),"at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v22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row r="4">
      <c r="A4" s="13" t="inlineStr">
        <is>
          <t>Source: CoQ_Analysis_Master_v22.xlsx,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2026-09-11T08:26:39Z</dcterms:created>
  <dcterms:modified xsi:type="dcterms:W3CDTF">2026-09-11T08:26:39Z</dcterms:modified>
</cp:coreProperties>
</file>