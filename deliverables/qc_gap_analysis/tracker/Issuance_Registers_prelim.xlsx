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193" headerRowCount="1">
  <autoFilter ref="A1:AB193"/>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80" headerRowCount="1">
  <autoFilter ref="A1:AC180"/>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1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t="n">
        <v>46176</v>
      </c>
      <c r="E58" s="5" t="n">
        <v>46121</v>
      </c>
      <c r="F58" s="5">
        <f>IFERROR(INDEX('Batch Dates'!$G:$G,MATCH(J58,'Batch Dates'!$C:$C,0)),IFERROR(INDEX('Batch Dates'!$G:$G,MATCH(I58,'Batch Dates'!$B:$B,0)),""))</f>
        <v/>
      </c>
      <c r="G58" s="2" t="inlineStr">
        <is>
          <t>legacy</t>
        </is>
      </c>
      <c r="H58" s="2" t="inlineStr">
        <is>
          <t>retest 1</t>
        </is>
      </c>
      <c r="I58" s="3" t="inlineStr">
        <is>
          <t>J31112501</t>
        </is>
      </c>
      <c r="J58" s="2" t="inlineStr">
        <is>
          <t>P060202</t>
        </is>
      </c>
      <c r="K58" s="2" t="inlineStr">
        <is>
          <t>Jokerz 31</t>
        </is>
      </c>
      <c r="L58" s="2" t="inlineStr">
        <is>
          <t>Ident A + Ident B + Foreign matter</t>
        </is>
      </c>
      <c r="M58" s="6" t="inlineStr">
        <is>
          <t>—</t>
        </is>
      </c>
      <c r="N58" s="2">
        <f>IFERROR(INDEX('CoQ Register'!$B:$B,MATCH("P060202|R",'CoQ Register'!$S:$S,0)),"—")</f>
        <v/>
      </c>
      <c r="O58" s="6" t="inlineStr">
        <is>
          <t>—</t>
        </is>
      </c>
      <c r="P58" s="2" t="inlineStr">
        <is>
          <t>09.04.2027</t>
        </is>
      </c>
      <c r="Q58" s="2" t="inlineStr">
        <is>
          <t>26.01.2026</t>
        </is>
      </c>
      <c r="R58" s="2" t="inlineStr">
        <is>
          <t>17.04.2026 (the issuance plan's basis: 09.04.2026)</t>
        </is>
      </c>
      <c r="S58" s="5">
        <f>IFERROR(INDEX('CoQ Register'!$D:$D,MATCH("P060202|R",'CoQ Register'!$S:$S,0)),"")</f>
        <v/>
      </c>
      <c r="T58" s="2" t="inlineStr">
        <is>
          <t>Conforms</t>
        </is>
      </c>
      <c r="U58" s="2" t="inlineStr">
        <is>
          <t>Conforms</t>
        </is>
      </c>
      <c r="V58" s="2" t="inlineStr">
        <is>
          <t>Conforms</t>
        </is>
      </c>
      <c r="W58" s="2" t="inlineStr">
        <is>
          <t>227-14-K-26, (11.09.2026) [FHM-K]</t>
        </is>
      </c>
      <c r="X58" s="2" t="inlineStr">
        <is>
          <t>227-14-K-26, (11.09.2026) [FHM-K]</t>
        </is>
      </c>
      <c r="Y58" s="2" t="inlineStr">
        <is>
          <t>— pending —</t>
        </is>
      </c>
      <c r="Z58" s="2" t="inlineStr">
        <is>
          <t>#8, #9, #11, #12 from the initial testing</t>
        </is>
      </c>
      <c r="AA58" s="2" t="inlineStr">
        <is>
          <t>P060202|R</t>
        </is>
      </c>
      <c r="AB58" s="7" t="inlineStr">
        <is>
          <t>registered — retest 1,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J31112501</t>
        </is>
      </c>
      <c r="J59" s="2" t="inlineStr">
        <is>
          <t>P060202</t>
        </is>
      </c>
      <c r="K59" s="2" t="inlineStr">
        <is>
          <t>Jokerz 31</t>
        </is>
      </c>
      <c r="L59" s="2" t="inlineStr">
        <is>
          <t>Ident A + Ident B + Foreign matter</t>
        </is>
      </c>
      <c r="M59" s="6" t="inlineStr">
        <is>
          <t>—</t>
        </is>
      </c>
      <c r="N59" s="2">
        <f>IFERROR(INDEX('CoQ Register'!$B:$B,MATCH("P060202|I",'CoQ Register'!$S:$S,0)),"—")</f>
        <v/>
      </c>
      <c r="O59" s="6" t="inlineStr">
        <is>
          <t>—</t>
        </is>
      </c>
      <c r="P59" s="2" t="inlineStr">
        <is>
          <t>09.04.2026</t>
        </is>
      </c>
      <c r="Q59" s="2" t="inlineStr">
        <is>
          <t>26.01.2026</t>
        </is>
      </c>
      <c r="R59" s="2" t="inlineStr">
        <is>
          <t>17.04.2026 (the issuance plan's basis: 09.04.2026)</t>
        </is>
      </c>
      <c r="S59" s="5">
        <f>IFERROR(INDEX('CoQ Register'!$D:$D,MATCH("P060202|I",'CoQ Register'!$S:$S,0)),"")</f>
        <v/>
      </c>
      <c r="T59" s="2" t="inlineStr">
        <is>
          <t>Conforms</t>
        </is>
      </c>
      <c r="U59" s="2" t="inlineStr">
        <is>
          <t>Conforms</t>
        </is>
      </c>
      <c r="V59" s="2" t="inlineStr">
        <is>
          <t>Conforms</t>
        </is>
      </c>
      <c r="W59" s="2" t="inlineStr">
        <is>
          <t>051-5-K-26, (04.03.2026) [FHM-K]</t>
        </is>
      </c>
      <c r="X59" s="2" t="inlineStr">
        <is>
          <t>—</t>
        </is>
      </c>
      <c r="Y59" s="2" t="inlineStr">
        <is>
          <t>—</t>
        </is>
      </c>
      <c r="Z59" s="2" t="inlineStr">
        <is>
          <t>—</t>
        </is>
      </c>
      <c r="AA59" s="2" t="inlineStr">
        <is>
          <t>P060202|I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JD112501</t>
        </is>
      </c>
      <c r="J60" s="2" t="inlineStr">
        <is>
          <t>P060212</t>
        </is>
      </c>
      <c r="K60" s="2" t="inlineStr">
        <is>
          <t>Jelly Donutz</t>
        </is>
      </c>
      <c r="L60" s="2" t="inlineStr">
        <is>
          <t>Ident A + Ident B + Foreign matter</t>
        </is>
      </c>
      <c r="M60" s="6" t="inlineStr">
        <is>
          <t>—</t>
        </is>
      </c>
      <c r="N60" s="2">
        <f>IFERROR(INDEX('CoQ Register'!$B:$B,MATCH("P060212|I",'CoQ Register'!$S:$S,0)),"—")</f>
        <v/>
      </c>
      <c r="O60" s="2" t="inlineStr">
        <is>
          <t>iCoA-PP-2026-0015</t>
        </is>
      </c>
      <c r="P60" s="2" t="inlineStr">
        <is>
          <t>21.04.2026</t>
        </is>
      </c>
      <c r="Q60" s="2" t="inlineStr">
        <is>
          <t>25.03.2026</t>
        </is>
      </c>
      <c r="R60" s="2" t="inlineStr">
        <is>
          <t>21.04.2026</t>
        </is>
      </c>
      <c r="S60" s="5">
        <f>IFERROR(INDEX('CoQ Register'!$D:$D,MATCH("P060212|I",'CoQ Register'!$S:$S,0)),"")</f>
        <v/>
      </c>
      <c r="T60" s="2" t="inlineStr">
        <is>
          <t>Conforms</t>
        </is>
      </c>
      <c r="U60" s="2" t="inlineStr">
        <is>
          <t>Conforms</t>
        </is>
      </c>
      <c r="V60" s="2" t="inlineStr">
        <is>
          <t>Conforms</t>
        </is>
      </c>
      <c r="W60" s="2" t="inlineStr">
        <is>
          <t>ППК26063, (11.05.2026) [CNP]</t>
        </is>
      </c>
      <c r="X60" s="2" t="inlineStr">
        <is>
          <t>—</t>
        </is>
      </c>
      <c r="Y60" s="2" t="inlineStr">
        <is>
          <t>—</t>
        </is>
      </c>
      <c r="Z60" s="2" t="inlineStr">
        <is>
          <t>—</t>
        </is>
      </c>
      <c r="AA60" s="2" t="inlineStr">
        <is>
          <t>P060212|I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OPM112501</t>
        </is>
      </c>
      <c r="J61" s="2" t="inlineStr">
        <is>
          <t>P060222</t>
        </is>
      </c>
      <c r="K61" s="2" t="inlineStr">
        <is>
          <t>Orange Punch Mimosa</t>
        </is>
      </c>
      <c r="L61" s="2" t="inlineStr">
        <is>
          <t>Ident A + Ident B + Foreign matter</t>
        </is>
      </c>
      <c r="M61" s="6" t="inlineStr">
        <is>
          <t>—</t>
        </is>
      </c>
      <c r="N61" s="2">
        <f>IFERROR(INDEX('CoQ Register'!$B:$B,MATCH("P060222|I",'CoQ Register'!$S:$S,0)),"—")</f>
        <v/>
      </c>
      <c r="O61" s="6" t="inlineStr">
        <is>
          <t>—</t>
        </is>
      </c>
      <c r="P61" s="2" t="inlineStr">
        <is>
          <t>05.03.2026</t>
        </is>
      </c>
      <c r="Q61" s="2" t="inlineStr">
        <is>
          <t>05.02.2026</t>
        </is>
      </c>
      <c r="R61" s="2" t="inlineStr">
        <is>
          <t>24.04.2026 (the issuance plan's basis: 05.03.2026)</t>
        </is>
      </c>
      <c r="S61" s="5">
        <f>IFERROR(INDEX('CoQ Register'!$D:$D,MATCH("P060222|I",'CoQ Register'!$S:$S,0)),"")</f>
        <v/>
      </c>
      <c r="T61" s="2" t="inlineStr">
        <is>
          <t>Conforms</t>
        </is>
      </c>
      <c r="U61" s="2" t="inlineStr">
        <is>
          <t>Conforms</t>
        </is>
      </c>
      <c r="V61" s="2" t="inlineStr">
        <is>
          <t>Conforms</t>
        </is>
      </c>
      <c r="W61" s="2" t="inlineStr">
        <is>
          <t>ППК26031, (05.03.2026) [CNP]</t>
        </is>
      </c>
      <c r="X61" s="2" t="inlineStr">
        <is>
          <t>—</t>
        </is>
      </c>
      <c r="Y61" s="2" t="inlineStr">
        <is>
          <t>—</t>
        </is>
      </c>
      <c r="Z61" s="2" t="inlineStr">
        <is>
          <t>—</t>
        </is>
      </c>
      <c r="AA61" s="2" t="inlineStr">
        <is>
          <t>P060222|I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PM112501</t>
        </is>
      </c>
      <c r="J62" s="2" t="inlineStr">
        <is>
          <t>P060232</t>
        </is>
      </c>
      <c r="K62" s="2" t="inlineStr">
        <is>
          <t>Permanent Market</t>
        </is>
      </c>
      <c r="L62" s="2" t="inlineStr">
        <is>
          <t>Ident A + Ident B + Foreign matter</t>
        </is>
      </c>
      <c r="M62" s="6" t="inlineStr">
        <is>
          <t>—</t>
        </is>
      </c>
      <c r="N62" s="2">
        <f>IFERROR(INDEX('CoQ Register'!$B:$B,MATCH("P060232|I",'CoQ Register'!$S:$S,0)),"—")</f>
        <v/>
      </c>
      <c r="O62" s="2" t="inlineStr">
        <is>
          <t>iCoA-PP-2026-0016</t>
        </is>
      </c>
      <c r="P62" s="2" t="inlineStr">
        <is>
          <t>27.04.2026</t>
        </is>
      </c>
      <c r="Q62" s="2" t="inlineStr">
        <is>
          <t>05.02.2026</t>
        </is>
      </c>
      <c r="R62" s="2" t="inlineStr">
        <is>
          <t>27.04.2026</t>
        </is>
      </c>
      <c r="S62" s="5">
        <f>IFERROR(INDEX('CoQ Register'!$D:$D,MATCH("P060232|I",'CoQ Register'!$S:$S,0)),"")</f>
        <v/>
      </c>
      <c r="T62" s="2" t="inlineStr">
        <is>
          <t>Conforms</t>
        </is>
      </c>
      <c r="U62" s="2" t="inlineStr">
        <is>
          <t>Conforms</t>
        </is>
      </c>
      <c r="V62" s="2" t="inlineStr">
        <is>
          <t>Conforms</t>
        </is>
      </c>
      <c r="W62" s="2" t="inlineStr">
        <is>
          <t>ППК26030, (05.03.2026) [CNP]</t>
        </is>
      </c>
      <c r="X62" s="2" t="inlineStr">
        <is>
          <t>—</t>
        </is>
      </c>
      <c r="Y62" s="2" t="inlineStr">
        <is>
          <t>—</t>
        </is>
      </c>
      <c r="Z62" s="2" t="inlineStr">
        <is>
          <t>—</t>
        </is>
      </c>
      <c r="AA62" s="2" t="inlineStr">
        <is>
          <t>P060232|I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OPM122501</t>
        </is>
      </c>
      <c r="J63" s="2" t="inlineStr">
        <is>
          <t>P060242</t>
        </is>
      </c>
      <c r="K63" s="2" t="inlineStr">
        <is>
          <t>Orange Punch Mimosa</t>
        </is>
      </c>
      <c r="L63" s="2" t="inlineStr">
        <is>
          <t>Ident A + Ident B + Foreign matter</t>
        </is>
      </c>
      <c r="M63" s="6" t="inlineStr">
        <is>
          <t>—</t>
        </is>
      </c>
      <c r="N63" s="2">
        <f>IFERROR(INDEX('CoQ Register'!$B:$B,MATCH("P060242|I",'CoQ Register'!$S:$S,0)),"—")</f>
        <v/>
      </c>
      <c r="O63" s="2" t="inlineStr">
        <is>
          <t>iCoA-PP-2026-0017</t>
        </is>
      </c>
      <c r="P63" s="2" t="inlineStr">
        <is>
          <t>28.04.2026</t>
        </is>
      </c>
      <c r="Q63" s="2" t="inlineStr">
        <is>
          <t>11.03.2026</t>
        </is>
      </c>
      <c r="R63" s="2" t="inlineStr">
        <is>
          <t>28.04.2026</t>
        </is>
      </c>
      <c r="S63" s="5">
        <f>IFERROR(INDEX('CoQ Register'!$D:$D,MATCH("P060242|I",'CoQ Register'!$S:$S,0)),"")</f>
        <v/>
      </c>
      <c r="T63" s="2" t="inlineStr">
        <is>
          <t>Conforms</t>
        </is>
      </c>
      <c r="U63" s="2" t="inlineStr">
        <is>
          <t>Conforms</t>
        </is>
      </c>
      <c r="V63" s="2" t="inlineStr">
        <is>
          <t>Conforms</t>
        </is>
      </c>
      <c r="W63" s="2" t="inlineStr">
        <is>
          <t>100-4-K-26, (09.04.2026) [FHM-K]</t>
        </is>
      </c>
      <c r="X63" s="2" t="inlineStr">
        <is>
          <t>—</t>
        </is>
      </c>
      <c r="Y63" s="2" t="inlineStr">
        <is>
          <t>—</t>
        </is>
      </c>
      <c r="Z63" s="2" t="inlineStr">
        <is>
          <t>—</t>
        </is>
      </c>
      <c r="AA63" s="2" t="inlineStr">
        <is>
          <t>P060242|I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GG112501</t>
        </is>
      </c>
      <c r="J64" s="2" t="inlineStr">
        <is>
          <t>P060252</t>
        </is>
      </c>
      <c r="K64" s="2" t="inlineStr">
        <is>
          <t>Gorilla Glue</t>
        </is>
      </c>
      <c r="L64" s="2" t="inlineStr">
        <is>
          <t>Ident A + Ident B + Foreign matter</t>
        </is>
      </c>
      <c r="M64" s="6" t="inlineStr">
        <is>
          <t>—</t>
        </is>
      </c>
      <c r="N64" s="2">
        <f>IFERROR(INDEX('CoQ Register'!$B:$B,MATCH("P060252|I",'CoQ Register'!$S:$S,0)),"—")</f>
        <v/>
      </c>
      <c r="O64" s="6" t="inlineStr">
        <is>
          <t>—</t>
        </is>
      </c>
      <c r="P64" s="2" t="inlineStr">
        <is>
          <t>11.05.2026</t>
        </is>
      </c>
      <c r="Q64" s="2" t="inlineStr">
        <is>
          <t>25.03.2026</t>
        </is>
      </c>
      <c r="R64" s="2" t="inlineStr">
        <is>
          <t>05.05.2026 (the issuance plan's basis: 11.05.2026)</t>
        </is>
      </c>
      <c r="S64" s="5">
        <f>IFERROR(INDEX('CoQ Register'!$D:$D,MATCH("P060252|I",'CoQ Register'!$S:$S,0)),"")</f>
        <v/>
      </c>
      <c r="T64" s="2" t="inlineStr">
        <is>
          <t>Conforms</t>
        </is>
      </c>
      <c r="U64" s="2" t="inlineStr">
        <is>
          <t>Conforms</t>
        </is>
      </c>
      <c r="V64" s="2" t="inlineStr">
        <is>
          <t>Conforms</t>
        </is>
      </c>
      <c r="W64" s="2" t="inlineStr">
        <is>
          <t>ППК26061, (11.05.2026) [CNP]</t>
        </is>
      </c>
      <c r="X64" s="2" t="inlineStr">
        <is>
          <t>—</t>
        </is>
      </c>
      <c r="Y64" s="2" t="inlineStr">
        <is>
          <t>—</t>
        </is>
      </c>
      <c r="Z64" s="2" t="inlineStr">
        <is>
          <t>—</t>
        </is>
      </c>
      <c r="AA64" s="2" t="inlineStr">
        <is>
          <t>P060252|I</t>
        </is>
      </c>
      <c r="AB64" s="7" t="inlineStr">
        <is>
          <t>registered — initial release,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1</t>
        </is>
      </c>
      <c r="I65" s="3" t="inlineStr">
        <is>
          <t>GP062501</t>
        </is>
      </c>
      <c r="J65" s="2" t="inlineStr">
        <is>
          <t>P050202</t>
        </is>
      </c>
      <c r="K65" s="2" t="inlineStr">
        <is>
          <t>Grape Pie</t>
        </is>
      </c>
      <c r="L65" s="2" t="inlineStr">
        <is>
          <t>Ident A + Ident B + Foreign matter</t>
        </is>
      </c>
      <c r="M65" s="6" t="inlineStr">
        <is>
          <t>—</t>
        </is>
      </c>
      <c r="N65" s="2">
        <f>IFERROR(INDEX('CoQ Register'!$B:$B,MATCH("P050202|R",'CoQ Register'!$S:$S,0)),"—")</f>
        <v/>
      </c>
      <c r="O65" s="6" t="inlineStr">
        <is>
          <t>—</t>
        </is>
      </c>
      <c r="P65" s="2" t="inlineStr">
        <is>
          <t>11.05.2027</t>
        </is>
      </c>
      <c r="Q65" s="2" t="inlineStr">
        <is>
          <t>15.09.2025 – 17.09.2025</t>
        </is>
      </c>
      <c r="R65" s="2" t="inlineStr">
        <is>
          <t>30.10.2025 – 07.11.2025 (the issuance plan's basis: 11.05.2026)</t>
        </is>
      </c>
      <c r="S65" s="5">
        <f>IFERROR(INDEX('CoQ Register'!$D:$D,MATCH("P050202|R",'CoQ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t>
        </is>
      </c>
      <c r="AB65" s="7" t="inlineStr">
        <is>
          <t>registered — retest 1,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2</t>
        </is>
      </c>
      <c r="I66" s="3" t="inlineStr">
        <is>
          <t>GP062501</t>
        </is>
      </c>
      <c r="J66" s="2" t="inlineStr">
        <is>
          <t>P050202</t>
        </is>
      </c>
      <c r="K66" s="2" t="inlineStr">
        <is>
          <t>Grape Pie</t>
        </is>
      </c>
      <c r="L66" s="2" t="inlineStr">
        <is>
          <t>Ident A + Ident B + Foreign matter</t>
        </is>
      </c>
      <c r="M66" s="6" t="inlineStr">
        <is>
          <t>—</t>
        </is>
      </c>
      <c r="N66" s="2">
        <f>IFERROR(INDEX('CoQ Register'!$B:$B,MATCH("P050202|R2",'CoQ Register'!$S:$S,0)),"—")</f>
        <v/>
      </c>
      <c r="O66" s="6" t="inlineStr">
        <is>
          <t>—</t>
        </is>
      </c>
      <c r="P66" s="2" t="inlineStr">
        <is>
          <t>11.05.2027</t>
        </is>
      </c>
      <c r="Q66" s="2" t="inlineStr">
        <is>
          <t>15.09.2025 – 17.09.2025</t>
        </is>
      </c>
      <c r="R66" s="2" t="inlineStr">
        <is>
          <t>30.10.2025 – 07.11.2025 (the issuance plan's basis: 11.05.2026)</t>
        </is>
      </c>
      <c r="S66" s="5">
        <f>IFERROR(INDEX('CoQ Register'!$D:$D,MATCH("P050202|R2",'CoQ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P050202|R2</t>
        </is>
      </c>
      <c r="AB66" s="7" t="inlineStr">
        <is>
          <t>registered — retest 2,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FB012601_1</t>
        </is>
      </c>
      <c r="J77" s="2" t="inlineStr">
        <is>
          <t>P060322</t>
        </is>
      </c>
      <c r="K77" s="2" t="inlineStr">
        <is>
          <t>Fat Bastard</t>
        </is>
      </c>
      <c r="L77" s="2" t="inlineStr">
        <is>
          <t>Ident A + Ident B + Foreign matter</t>
        </is>
      </c>
      <c r="M77" s="6" t="inlineStr">
        <is>
          <t>—</t>
        </is>
      </c>
      <c r="N77" s="2">
        <f>IFERROR(INDEX('CoQ Register'!$B:$B,MATCH("P060322|I",'CoQ Register'!$S:$S,0)),"—")</f>
        <v/>
      </c>
      <c r="O77" s="2" t="inlineStr">
        <is>
          <t>iCoA-PP-2026-0019</t>
        </is>
      </c>
      <c r="P77" s="2" t="inlineStr">
        <is>
          <t>22.05.2026</t>
        </is>
      </c>
      <c r="Q77" s="2" t="inlineStr">
        <is>
          <t>27.03.2026</t>
        </is>
      </c>
      <c r="R77" s="2" t="inlineStr">
        <is>
          <t>22.05.2026</t>
        </is>
      </c>
      <c r="S77" s="5">
        <f>IFERROR(INDEX('CoQ Register'!$D:$D,MATCH("P060322|I",'CoQ Register'!$S:$S,0)),"")</f>
        <v/>
      </c>
      <c r="T77" s="2" t="inlineStr">
        <is>
          <t>Conforms</t>
        </is>
      </c>
      <c r="U77" s="2" t="inlineStr">
        <is>
          <t>Conforms</t>
        </is>
      </c>
      <c r="V77" s="2" t="inlineStr">
        <is>
          <t>Conforms</t>
        </is>
      </c>
      <c r="W77" s="2" t="inlineStr">
        <is>
          <t>ППК26067, (11.05.2026) [CNP]</t>
        </is>
      </c>
      <c r="X77" s="2" t="inlineStr">
        <is>
          <t>—</t>
        </is>
      </c>
      <c r="Y77" s="2" t="inlineStr">
        <is>
          <t>—</t>
        </is>
      </c>
      <c r="Z77" s="2" t="inlineStr">
        <is>
          <t>—</t>
        </is>
      </c>
      <c r="AA77" s="2" t="inlineStr">
        <is>
          <t>P060322|I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CC012601/1</t>
        </is>
      </c>
      <c r="J78" s="2" t="inlineStr">
        <is>
          <t>P060332</t>
        </is>
      </c>
      <c r="K78" s="2" t="inlineStr">
        <is>
          <t>Cash Cow</t>
        </is>
      </c>
      <c r="L78" s="2" t="inlineStr">
        <is>
          <t>Ident A + Ident B + Foreign matter</t>
        </is>
      </c>
      <c r="M78" s="6" t="inlineStr">
        <is>
          <t>—</t>
        </is>
      </c>
      <c r="N78" s="2">
        <f>IFERROR(INDEX('CoQ Register'!$B:$B,MATCH("P060332|I",'CoQ Register'!$S:$S,0)),"—")</f>
        <v/>
      </c>
      <c r="O78" s="6" t="inlineStr">
        <is>
          <t>—</t>
        </is>
      </c>
      <c r="P78" s="2" t="inlineStr">
        <is>
          <t>10.08.2026</t>
        </is>
      </c>
      <c r="Q78" s="2" t="inlineStr">
        <is>
          <t>16.04.2026</t>
        </is>
      </c>
      <c r="R78" s="2" t="inlineStr">
        <is>
          <t>22.05.2026 (the issuance plan's basis: 10.08.2026)</t>
        </is>
      </c>
      <c r="S78" s="5">
        <f>IFERROR(INDEX('CoQ Register'!$D:$D,MATCH("P060332|I",'CoQ Register'!$S:$S,0)),"")</f>
        <v/>
      </c>
      <c r="T78" s="2" t="inlineStr">
        <is>
          <t>Conforms</t>
        </is>
      </c>
      <c r="U78" s="2" t="inlineStr">
        <is>
          <t>Conforms</t>
        </is>
      </c>
      <c r="V78" s="2" t="inlineStr">
        <is>
          <t>Conforms</t>
        </is>
      </c>
      <c r="W78" s="2" t="inlineStr">
        <is>
          <t>— no cannabinoid certificate from the initial testing —</t>
        </is>
      </c>
      <c r="X78" s="2" t="inlineStr">
        <is>
          <t>—</t>
        </is>
      </c>
      <c r="Y78" s="2" t="inlineStr">
        <is>
          <t>—</t>
        </is>
      </c>
      <c r="Z78" s="2" t="inlineStr">
        <is>
          <t>—</t>
        </is>
      </c>
      <c r="AA78" s="2" t="inlineStr">
        <is>
          <t>P060332|I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FB012603V</t>
        </is>
      </c>
      <c r="J79" s="2" t="inlineStr">
        <is>
          <t>P060392</t>
        </is>
      </c>
      <c r="K79" s="2" t="inlineStr">
        <is>
          <t>Fat Bastard</t>
        </is>
      </c>
      <c r="L79" s="2" t="inlineStr">
        <is>
          <t>Ident A + Ident B + Foreign matter</t>
        </is>
      </c>
      <c r="M79" s="2" t="inlineStr">
        <is>
          <t>A: ППК26110 / B: ППК26110 / FM: ППК26110</t>
        </is>
      </c>
      <c r="N79" s="2">
        <f>IFERROR(INDEX('CoQ Register'!$B:$B,MATCH("P060392|I",'CoQ Register'!$S:$S,0)),"—")</f>
        <v/>
      </c>
      <c r="O79" s="6" t="inlineStr">
        <is>
          <t>—</t>
        </is>
      </c>
      <c r="P79" s="2" t="inlineStr">
        <is>
          <t>30.06.2026</t>
        </is>
      </c>
      <c r="Q79" s="2" t="inlineStr">
        <is>
          <t>29.04.2026</t>
        </is>
      </c>
      <c r="R79" s="2" t="inlineStr">
        <is>
          <t>23.05.2026 (the issuance plan's basis: 30.06.2026)</t>
        </is>
      </c>
      <c r="S79" s="5">
        <f>IFERROR(INDEX('CoQ Register'!$D:$D,MATCH("P060392|I",'CoQ Register'!$S:$S,0)),"")</f>
        <v/>
      </c>
      <c r="T79" s="2" t="inlineStr">
        <is>
          <t>CNP ППК26110</t>
        </is>
      </c>
      <c r="U79" s="2" t="inlineStr">
        <is>
          <t>CNP ППК26110</t>
        </is>
      </c>
      <c r="V79" s="2" t="inlineStr">
        <is>
          <t>CNP ППК26110</t>
        </is>
      </c>
      <c r="W79" s="2" t="inlineStr">
        <is>
          <t>ППК26110, (30.06.2026) [CNP]</t>
        </is>
      </c>
      <c r="X79" s="2" t="inlineStr">
        <is>
          <t>—</t>
        </is>
      </c>
      <c r="Y79" s="2" t="inlineStr">
        <is>
          <t>—</t>
        </is>
      </c>
      <c r="Z79" s="2" t="inlineStr">
        <is>
          <t>—</t>
        </is>
      </c>
      <c r="AA79" s="2" t="inlineStr">
        <is>
          <t>P060392|I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JD012603</t>
        </is>
      </c>
      <c r="J80" s="2" t="inlineStr">
        <is>
          <t>P060422</t>
        </is>
      </c>
      <c r="K80" s="2" t="inlineStr">
        <is>
          <t>Jelly Donutz</t>
        </is>
      </c>
      <c r="L80" s="2" t="inlineStr">
        <is>
          <t>Ident A + Ident B + Foreign matter</t>
        </is>
      </c>
      <c r="M80" s="2" t="inlineStr">
        <is>
          <t>A: ППК26111 / B: ППК26111 / FM: ППК26111</t>
        </is>
      </c>
      <c r="N80" s="2">
        <f>IFERROR(INDEX('CoQ Register'!$B:$B,MATCH("P060422|I",'CoQ Register'!$S:$S,0)),"—")</f>
        <v/>
      </c>
      <c r="O80" s="2" t="inlineStr">
        <is>
          <t>iCoA-PP-2026-0022</t>
        </is>
      </c>
      <c r="P80" s="2" t="inlineStr">
        <is>
          <t>23.05.2026</t>
        </is>
      </c>
      <c r="Q80" s="2" t="inlineStr">
        <is>
          <t>29.04.2026</t>
        </is>
      </c>
      <c r="R80" s="2" t="inlineStr">
        <is>
          <t>23.05.2026</t>
        </is>
      </c>
      <c r="S80" s="5">
        <f>IFERROR(INDEX('CoQ Register'!$D:$D,MATCH("P060422|I",'CoQ Register'!$S:$S,0)),"")</f>
        <v/>
      </c>
      <c r="T80" s="2" t="inlineStr">
        <is>
          <t>CNP ППК26111</t>
        </is>
      </c>
      <c r="U80" s="2" t="inlineStr">
        <is>
          <t>CNP ППК26111</t>
        </is>
      </c>
      <c r="V80" s="2" t="inlineStr">
        <is>
          <t>CNP ППК26111</t>
        </is>
      </c>
      <c r="W80" s="2" t="inlineStr">
        <is>
          <t>ППК26111, (30.06.2026) [CNP]</t>
        </is>
      </c>
      <c r="X80" s="2" t="inlineStr">
        <is>
          <t>—</t>
        </is>
      </c>
      <c r="Y80" s="2" t="inlineStr">
        <is>
          <t>—</t>
        </is>
      </c>
      <c r="Z80" s="2" t="inlineStr">
        <is>
          <t>—</t>
        </is>
      </c>
      <c r="AA80" s="2" t="inlineStr">
        <is>
          <t>P060422|I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JD012603</t>
        </is>
      </c>
      <c r="J81" s="2" t="inlineStr">
        <is>
          <t>P060362</t>
        </is>
      </c>
      <c r="K81" s="2" t="inlineStr">
        <is>
          <t>Jelly Donutz</t>
        </is>
      </c>
      <c r="L81" s="2" t="inlineStr">
        <is>
          <t>Ident A + Ident B + Foreign matter</t>
        </is>
      </c>
      <c r="M81" s="2" t="inlineStr">
        <is>
          <t>A: ППК26111 / B: ППК26111 / FM: ППК26111</t>
        </is>
      </c>
      <c r="N81" s="2">
        <f>IFERROR(INDEX('CoQ Register'!$B:$B,MATCH("P060362|I",'CoQ Register'!$S:$S,0)),"—")</f>
        <v/>
      </c>
      <c r="O81" s="2" t="inlineStr">
        <is>
          <t>iCoA-PP-2026-0020</t>
        </is>
      </c>
      <c r="P81" s="2" t="inlineStr">
        <is>
          <t>23.05.2026</t>
        </is>
      </c>
      <c r="Q81" s="2" t="inlineStr">
        <is>
          <t>22.04.2026</t>
        </is>
      </c>
      <c r="R81" s="2" t="inlineStr">
        <is>
          <t>23.05.2026</t>
        </is>
      </c>
      <c r="S81" s="5">
        <f>IFERROR(INDEX('CoQ Register'!$D:$D,MATCH("P060362|I",'CoQ Register'!$S:$S,0)),"")</f>
        <v/>
      </c>
      <c r="T81" s="2" t="inlineStr">
        <is>
          <t>CNP ППК26111</t>
        </is>
      </c>
      <c r="U81" s="2" t="inlineStr">
        <is>
          <t>CNP ППК26111</t>
        </is>
      </c>
      <c r="V81" s="2" t="inlineStr">
        <is>
          <t>CNP ППК26111</t>
        </is>
      </c>
      <c r="W81" s="2" t="inlineStr">
        <is>
          <t>— no cannabinoid certificate from the initial testing —</t>
        </is>
      </c>
      <c r="X81" s="2" t="inlineStr">
        <is>
          <t>—</t>
        </is>
      </c>
      <c r="Y81" s="2" t="inlineStr">
        <is>
          <t>—</t>
        </is>
      </c>
      <c r="Z81" s="2" t="inlineStr">
        <is>
          <t>—</t>
        </is>
      </c>
      <c r="AA81" s="2" t="inlineStr">
        <is>
          <t>P060362|I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FB012602*</t>
        </is>
      </c>
      <c r="J82" s="2" t="inlineStr">
        <is>
          <t>P060352</t>
        </is>
      </c>
      <c r="K82" s="2" t="inlineStr">
        <is>
          <t>Fat Bastard</t>
        </is>
      </c>
      <c r="L82" s="2" t="inlineStr">
        <is>
          <t>Ident A + Ident B + Foreign matter</t>
        </is>
      </c>
      <c r="M82" s="6" t="inlineStr">
        <is>
          <t>—</t>
        </is>
      </c>
      <c r="N82" s="2">
        <f>IFERROR(INDEX('CoQ Register'!$B:$B,MATCH("P060352|I",'CoQ Register'!$S:$S,0)),"—")</f>
        <v/>
      </c>
      <c r="O82" s="2" t="inlineStr">
        <is>
          <t>iCoA-PP-2026-0021</t>
        </is>
      </c>
      <c r="P82" s="2" t="inlineStr">
        <is>
          <t>23.05.2026</t>
        </is>
      </c>
      <c r="Q82" s="2" t="inlineStr">
        <is>
          <t>16.04.2026</t>
        </is>
      </c>
      <c r="R82" s="2" t="inlineStr">
        <is>
          <t>23.05.2026</t>
        </is>
      </c>
      <c r="S82" s="5">
        <f>IFERROR(INDEX('CoQ Register'!$D:$D,MATCH("P060352|I",'CoQ Register'!$S:$S,0)),"")</f>
        <v/>
      </c>
      <c r="T82" s="2" t="inlineStr">
        <is>
          <t>Conforms</t>
        </is>
      </c>
      <c r="U82" s="2" t="inlineStr">
        <is>
          <t>Conforms</t>
        </is>
      </c>
      <c r="V82" s="2" t="inlineStr">
        <is>
          <t>Conforms</t>
        </is>
      </c>
      <c r="W82" s="2" t="inlineStr">
        <is>
          <t>— no cannabinoid certificate from the initial testing —</t>
        </is>
      </c>
      <c r="X82" s="2" t="inlineStr">
        <is>
          <t>—</t>
        </is>
      </c>
      <c r="Y82" s="2" t="inlineStr">
        <is>
          <t>—</t>
        </is>
      </c>
      <c r="Z82" s="2" t="inlineStr">
        <is>
          <t>—</t>
        </is>
      </c>
      <c r="AA82" s="2" t="inlineStr">
        <is>
          <t>P060352|I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CC012603</t>
        </is>
      </c>
      <c r="J83" s="2" t="inlineStr">
        <is>
          <t>P060372</t>
        </is>
      </c>
      <c r="K83" s="2" t="inlineStr">
        <is>
          <t>Cash Cow</t>
        </is>
      </c>
      <c r="L83" s="2" t="inlineStr">
        <is>
          <t>Ident A + Ident B + Foreign matter</t>
        </is>
      </c>
      <c r="M83" s="6" t="inlineStr">
        <is>
          <t>—</t>
        </is>
      </c>
      <c r="N83" s="2">
        <f>IFERROR(INDEX('CoQ Register'!$B:$B,MATCH("P060372|I",'CoQ Register'!$S:$S,0)),"—")</f>
        <v/>
      </c>
      <c r="O83" s="2" t="inlineStr">
        <is>
          <t>iCoA-PP-2026-0024</t>
        </is>
      </c>
      <c r="P83" s="2" t="inlineStr">
        <is>
          <t>24.05.2026</t>
        </is>
      </c>
      <c r="Q83" s="2" t="inlineStr">
        <is>
          <t>22.04.2026</t>
        </is>
      </c>
      <c r="R83" s="2" t="inlineStr">
        <is>
          <t>24.05.2026</t>
        </is>
      </c>
      <c r="S83" s="5">
        <f>IFERROR(INDEX('CoQ Register'!$D:$D,MATCH("P060372|I",'CoQ Register'!$S:$S,0)),"")</f>
        <v/>
      </c>
      <c r="T83" s="2" t="inlineStr">
        <is>
          <t>Conforms</t>
        </is>
      </c>
      <c r="U83" s="2" t="inlineStr">
        <is>
          <t>Conforms</t>
        </is>
      </c>
      <c r="V83" s="2" t="inlineStr">
        <is>
          <t>Conforms</t>
        </is>
      </c>
      <c r="W83" s="2" t="inlineStr">
        <is>
          <t>— no cannabinoid certificate from the initial testing —</t>
        </is>
      </c>
      <c r="X83" s="2" t="inlineStr">
        <is>
          <t>—</t>
        </is>
      </c>
      <c r="Y83" s="2" t="inlineStr">
        <is>
          <t>—</t>
        </is>
      </c>
      <c r="Z83" s="2" t="inlineStr">
        <is>
          <t>—</t>
        </is>
      </c>
      <c r="AA83" s="2" t="inlineStr">
        <is>
          <t>P060372|I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GG012603</t>
        </is>
      </c>
      <c r="J84" s="2" t="inlineStr">
        <is>
          <t>P060402</t>
        </is>
      </c>
      <c r="K84" s="2" t="inlineStr">
        <is>
          <t>Gorilla Glue</t>
        </is>
      </c>
      <c r="L84" s="2" t="inlineStr">
        <is>
          <t>Ident A + Ident B + Foreign matter</t>
        </is>
      </c>
      <c r="M84" s="2" t="inlineStr">
        <is>
          <t>A: ППК26114 / B: ППК26114 / FM: ППК26114</t>
        </is>
      </c>
      <c r="N84" s="2">
        <f>IFERROR(INDEX('CoQ Register'!$B:$B,MATCH("P060402|I",'CoQ Register'!$S:$S,0)),"—")</f>
        <v/>
      </c>
      <c r="O84" s="2" t="inlineStr">
        <is>
          <t>iCoA-PP-2026-0023</t>
        </is>
      </c>
      <c r="P84" s="2" t="inlineStr">
        <is>
          <t>24.05.2026</t>
        </is>
      </c>
      <c r="Q84" s="2" t="inlineStr">
        <is>
          <t>04.05.2026</t>
        </is>
      </c>
      <c r="R84" s="2" t="inlineStr">
        <is>
          <t>24.05.2026</t>
        </is>
      </c>
      <c r="S84" s="5">
        <f>IFERROR(INDEX('CoQ Register'!$D:$D,MATCH("P060402|I",'CoQ Register'!$S:$S,0)),"")</f>
        <v/>
      </c>
      <c r="T84" s="2" t="inlineStr">
        <is>
          <t>CNP ППК26114</t>
        </is>
      </c>
      <c r="U84" s="2" t="inlineStr">
        <is>
          <t>CNP ППК26114</t>
        </is>
      </c>
      <c r="V84" s="2" t="inlineStr">
        <is>
          <t>CNP ППК26114</t>
        </is>
      </c>
      <c r="W84" s="2" t="inlineStr">
        <is>
          <t>ППК26114, (30.06.2026) [CNP]</t>
        </is>
      </c>
      <c r="X84" s="2" t="inlineStr">
        <is>
          <t>—</t>
        </is>
      </c>
      <c r="Y84" s="2" t="inlineStr">
        <is>
          <t>—</t>
        </is>
      </c>
      <c r="Z84" s="2" t="inlineStr">
        <is>
          <t>—</t>
        </is>
      </c>
      <c r="AA84" s="2" t="inlineStr">
        <is>
          <t>P060402|I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JD012603</t>
        </is>
      </c>
      <c r="J85" s="2" t="inlineStr">
        <is>
          <t>P060412</t>
        </is>
      </c>
      <c r="K85" s="2" t="inlineStr">
        <is>
          <t>Jelly Donutz</t>
        </is>
      </c>
      <c r="L85" s="2" t="inlineStr">
        <is>
          <t>Ident A + Ident B + Foreign matter</t>
        </is>
      </c>
      <c r="M85" s="2" t="inlineStr">
        <is>
          <t>A: ППК26111 / B: ППК26111 / FM: ППК26111</t>
        </is>
      </c>
      <c r="N85" s="2">
        <f>IFERROR(INDEX('CoQ Register'!$B:$B,MATCH("P060412|I",'CoQ Register'!$S:$S,0)),"—")</f>
        <v/>
      </c>
      <c r="O85" s="2" t="inlineStr">
        <is>
          <t>iCoA-PP-2026-0025</t>
        </is>
      </c>
      <c r="P85" s="2" t="inlineStr">
        <is>
          <t>24.05.2026</t>
        </is>
      </c>
      <c r="Q85" s="2" t="inlineStr">
        <is>
          <t>04.05.2026</t>
        </is>
      </c>
      <c r="R85" s="2" t="inlineStr">
        <is>
          <t>24.05.2026</t>
        </is>
      </c>
      <c r="S85" s="5">
        <f>IFERROR(INDEX('CoQ Register'!$D:$D,MATCH("P060412|I",'CoQ Register'!$S:$S,0)),"")</f>
        <v/>
      </c>
      <c r="T85" s="2" t="inlineStr">
        <is>
          <t>CNP ППК26111</t>
        </is>
      </c>
      <c r="U85" s="2" t="inlineStr">
        <is>
          <t>CNP ППК26111</t>
        </is>
      </c>
      <c r="V85" s="2" t="inlineStr">
        <is>
          <t>CNP ППК26111</t>
        </is>
      </c>
      <c r="W85" s="2" t="inlineStr">
        <is>
          <t>ППК26113, (30.06.2026) [CNP]</t>
        </is>
      </c>
      <c r="X85" s="2" t="inlineStr">
        <is>
          <t>—</t>
        </is>
      </c>
      <c r="Y85" s="2" t="inlineStr">
        <is>
          <t>—</t>
        </is>
      </c>
      <c r="Z85" s="2" t="inlineStr">
        <is>
          <t>—</t>
        </is>
      </c>
      <c r="AA85" s="2" t="inlineStr">
        <is>
          <t>P060412|I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SCR012603</t>
        </is>
      </c>
      <c r="J86" s="2" t="inlineStr">
        <is>
          <t>P060382</t>
        </is>
      </c>
      <c r="K86" s="2" t="inlineStr">
        <is>
          <t>Scrambler</t>
        </is>
      </c>
      <c r="L86" s="2" t="inlineStr">
        <is>
          <t>Ident A + Ident B + Foreign matter</t>
        </is>
      </c>
      <c r="M86" s="6" t="inlineStr">
        <is>
          <t>—</t>
        </is>
      </c>
      <c r="N86" s="2">
        <f>IFERROR(INDEX('CoQ Register'!$B:$B,MATCH("P060382|I",'CoQ Register'!$S:$S,0)),"—")</f>
        <v/>
      </c>
      <c r="O86" s="2" t="inlineStr">
        <is>
          <t>iCoA-PP-2026-0026</t>
        </is>
      </c>
      <c r="P86" s="2" t="inlineStr">
        <is>
          <t>25.05.2026</t>
        </is>
      </c>
      <c r="Q86" s="2" t="inlineStr">
        <is>
          <t>22.04.2026</t>
        </is>
      </c>
      <c r="R86" s="2" t="inlineStr">
        <is>
          <t>25.05.2026</t>
        </is>
      </c>
      <c r="S86" s="5">
        <f>IFERROR(INDEX('CoQ Register'!$D:$D,MATCH("P060382|I",'CoQ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P060382|I</t>
        </is>
      </c>
      <c r="AB86" s="7" t="inlineStr">
        <is>
          <t>registered — initial release, issued 03.06.2026</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legacy</t>
        </is>
      </c>
      <c r="H87" s="2" t="inlineStr">
        <is>
          <t>initial release</t>
        </is>
      </c>
      <c r="I87" s="3" t="inlineStr">
        <is>
          <t>BSS1024_01/1</t>
        </is>
      </c>
      <c r="J87" s="2" t="inlineStr">
        <is>
          <t>P050122</t>
        </is>
      </c>
      <c r="K87" s="2" t="inlineStr">
        <is>
          <t>Blue Sunset Sherbet</t>
        </is>
      </c>
      <c r="L87" s="2" t="inlineStr">
        <is>
          <t>Ident A + Ident B + Foreign matter</t>
        </is>
      </c>
      <c r="M87" s="6" t="inlineStr">
        <is>
          <t>—</t>
        </is>
      </c>
      <c r="N87" s="2">
        <f>IFERROR(INDEX('CoQ Register'!$B:$B,MATCH("P050122|I",'CoQ Register'!$S:$S,0)),"—")</f>
        <v/>
      </c>
      <c r="O87" s="6" t="inlineStr">
        <is>
          <t>—</t>
        </is>
      </c>
      <c r="P87" s="2" t="inlineStr">
        <is>
          <t>01.09.2025</t>
        </is>
      </c>
      <c r="Q87" s="2" t="inlineStr">
        <is>
          <t>04.06.2025 – 05.06.2025</t>
        </is>
      </c>
      <c r="R87" s="2" t="inlineStr">
        <is>
          <t>01.09.2025 – 09.09.2025</t>
        </is>
      </c>
      <c r="S87" s="5">
        <f>IFERROR(INDEX('CoQ Register'!$D:$D,MATCH("P050122|I",'CoQ Register'!$S:$S,0)),"")</f>
        <v/>
      </c>
      <c r="T87" s="2" t="inlineStr">
        <is>
          <t>Conforms</t>
        </is>
      </c>
      <c r="U87" s="2" t="inlineStr">
        <is>
          <t>Conforms</t>
        </is>
      </c>
      <c r="V87" s="2" t="inlineStr">
        <is>
          <t>Conforms</t>
        </is>
      </c>
      <c r="W87" s="2" t="inlineStr">
        <is>
          <t>ППК25176, (10.07.2025) [CNP]</t>
        </is>
      </c>
      <c r="X87" s="2" t="inlineStr">
        <is>
          <t>—</t>
        </is>
      </c>
      <c r="Y87" s="2" t="inlineStr">
        <is>
          <t>—</t>
        </is>
      </c>
      <c r="Z87" s="2" t="inlineStr">
        <is>
          <t>—</t>
        </is>
      </c>
      <c r="AA87" s="2" t="inlineStr">
        <is>
          <t>P050122|I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t>
        </is>
      </c>
      <c r="H88" s="2" t="inlineStr">
        <is>
          <t>initial release</t>
        </is>
      </c>
      <c r="I88" s="3" t="inlineStr">
        <is>
          <t>CC042601</t>
        </is>
      </c>
      <c r="J88" s="2" t="inlineStr">
        <is>
          <t>N/A — no P batch assigned</t>
        </is>
      </c>
      <c r="K88" s="2" t="inlineStr">
        <is>
          <t>Cash Cow</t>
        </is>
      </c>
      <c r="L88" s="2" t="inlineStr">
        <is>
          <t>Ident A + Ident B + Foreign matter</t>
        </is>
      </c>
      <c r="M88" s="6" t="inlineStr">
        <is>
          <t>—</t>
        </is>
      </c>
      <c r="N88" s="2">
        <f>IFERROR(INDEX('CoQ Register'!$B:$B,MATCH("CC042601|I",'CoQ Register'!$S:$S,0)),"—")</f>
        <v/>
      </c>
      <c r="O88" s="6" t="inlineStr">
        <is>
          <t>—</t>
        </is>
      </c>
      <c r="P88" s="2" t="inlineStr">
        <is>
          <t>—</t>
        </is>
      </c>
      <c r="Q88" s="2" t="inlineStr">
        <is>
          <t>— not on the list —</t>
        </is>
      </c>
      <c r="R88" s="2" t="inlineStr">
        <is>
          <t>— not on the list —</t>
        </is>
      </c>
      <c r="S88" s="5">
        <f>IFERROR(INDEX('CoQ Register'!$D:$D,MATCH("CC042601|I",'CoQ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CC042601|I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t>
        </is>
      </c>
      <c r="H89" s="2" t="inlineStr">
        <is>
          <t>initial release</t>
        </is>
      </c>
      <c r="I89" s="3" t="inlineStr">
        <is>
          <t>FB042601</t>
        </is>
      </c>
      <c r="J89" s="2" t="inlineStr">
        <is>
          <t>N/A — no P batch assigned</t>
        </is>
      </c>
      <c r="K89" s="2" t="inlineStr">
        <is>
          <t>Fat Bastard</t>
        </is>
      </c>
      <c r="L89" s="2" t="inlineStr">
        <is>
          <t>Ident A + Ident B + Foreign matter</t>
        </is>
      </c>
      <c r="M89" s="6" t="inlineStr">
        <is>
          <t>—</t>
        </is>
      </c>
      <c r="N89" s="2">
        <f>IFERROR(INDEX('CoQ Register'!$B:$B,MATCH("FB042601|I",'CoQ Register'!$S:$S,0)),"—")</f>
        <v/>
      </c>
      <c r="O89" s="6" t="inlineStr">
        <is>
          <t>—</t>
        </is>
      </c>
      <c r="P89" s="2" t="inlineStr">
        <is>
          <t>—</t>
        </is>
      </c>
      <c r="Q89" s="2" t="inlineStr">
        <is>
          <t>— not on the list —</t>
        </is>
      </c>
      <c r="R89" s="2" t="inlineStr">
        <is>
          <t>— not on the list —</t>
        </is>
      </c>
      <c r="S89" s="5">
        <f>IFERROR(INDEX('CoQ Register'!$D:$D,MATCH("FB042601|I",'CoQ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FB042601|I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post-SOP</t>
        </is>
      </c>
      <c r="H90" s="2" t="inlineStr">
        <is>
          <t>initial release</t>
        </is>
      </c>
      <c r="I90" s="3" t="inlineStr">
        <is>
          <t>GG012601＊</t>
        </is>
      </c>
      <c r="J90" s="2" t="inlineStr">
        <is>
          <t>P060302</t>
        </is>
      </c>
      <c r="K90" s="2" t="inlineStr">
        <is>
          <t>Gorilla Glue</t>
        </is>
      </c>
      <c r="L90" s="2" t="inlineStr">
        <is>
          <t>Ident A + Ident B + Foreign matter</t>
        </is>
      </c>
      <c r="M90" s="6" t="inlineStr">
        <is>
          <t>—</t>
        </is>
      </c>
      <c r="N90" s="2">
        <f>IFERROR(INDEX('CoQ Register'!$B:$B,MATCH("P060302|I",'CoQ Register'!$S:$S,0)),"—")</f>
        <v/>
      </c>
      <c r="O90" s="6" t="inlineStr">
        <is>
          <t>—</t>
        </is>
      </c>
      <c r="P90" s="2" t="inlineStr">
        <is>
          <t>11.05.2026</t>
        </is>
      </c>
      <c r="Q90" s="2" t="inlineStr">
        <is>
          <t>27.03.2026</t>
        </is>
      </c>
      <c r="R90" s="2" t="inlineStr">
        <is>
          <t>20.05.2026 (the issuance plan's basis: 11.05.2026)</t>
        </is>
      </c>
      <c r="S90" s="5">
        <f>IFERROR(INDEX('CoQ Register'!$D:$D,MATCH("P060302|I",'CoQ Register'!$S:$S,0)),"")</f>
        <v/>
      </c>
      <c r="T90" s="2" t="inlineStr">
        <is>
          <t>Conforms</t>
        </is>
      </c>
      <c r="U90" s="2" t="inlineStr">
        <is>
          <t>Conforms</t>
        </is>
      </c>
      <c r="V90" s="2" t="inlineStr">
        <is>
          <t>Conforms</t>
        </is>
      </c>
      <c r="W90" s="2" t="inlineStr">
        <is>
          <t>ППК26062, (11.05.2026) [CNP]</t>
        </is>
      </c>
      <c r="X90" s="2" t="inlineStr">
        <is>
          <t>—</t>
        </is>
      </c>
      <c r="Y90" s="2" t="inlineStr">
        <is>
          <t>—</t>
        </is>
      </c>
      <c r="Z90" s="2" t="inlineStr">
        <is>
          <t>—</t>
        </is>
      </c>
      <c r="AA90" s="2" t="inlineStr">
        <is>
          <t>P060302|I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JD012601＊</t>
        </is>
      </c>
      <c r="J91" s="2" t="inlineStr">
        <is>
          <t>P060312</t>
        </is>
      </c>
      <c r="K91" s="2" t="inlineStr">
        <is>
          <t>Jelly Donutz</t>
        </is>
      </c>
      <c r="L91" s="2" t="inlineStr">
        <is>
          <t>Ident A + Ident B + Foreign matter</t>
        </is>
      </c>
      <c r="M91" s="6" t="inlineStr">
        <is>
          <t>—</t>
        </is>
      </c>
      <c r="N91" s="2">
        <f>IFERROR(INDEX('CoQ Register'!$B:$B,MATCH("P060312|I",'CoQ Register'!$S:$S,0)),"—")</f>
        <v/>
      </c>
      <c r="O91" s="6" t="inlineStr">
        <is>
          <t>—</t>
        </is>
      </c>
      <c r="P91" s="2" t="inlineStr">
        <is>
          <t>11.05.2026</t>
        </is>
      </c>
      <c r="Q91" s="2" t="inlineStr">
        <is>
          <t>27.03.2026</t>
        </is>
      </c>
      <c r="R91" s="2" t="inlineStr">
        <is>
          <t>21.05.2026 (the issuance plan's basis: 11.05.2026)</t>
        </is>
      </c>
      <c r="S91" s="5">
        <f>IFERROR(INDEX('CoQ Register'!$D:$D,MATCH("P060312|I",'CoQ Register'!$S:$S,0)),"")</f>
        <v/>
      </c>
      <c r="T91" s="2" t="inlineStr">
        <is>
          <t>Conforms</t>
        </is>
      </c>
      <c r="U91" s="2" t="inlineStr">
        <is>
          <t>Conforms</t>
        </is>
      </c>
      <c r="V91" s="2" t="inlineStr">
        <is>
          <t>Conforms</t>
        </is>
      </c>
      <c r="W91" s="2" t="inlineStr">
        <is>
          <t>ППК26064, (11.05.2026) [CNP]</t>
        </is>
      </c>
      <c r="X91" s="2" t="inlineStr">
        <is>
          <t>—</t>
        </is>
      </c>
      <c r="Y91" s="2" t="inlineStr">
        <is>
          <t>—</t>
        </is>
      </c>
      <c r="Z91" s="2" t="inlineStr">
        <is>
          <t>—</t>
        </is>
      </c>
      <c r="AA91" s="2" t="inlineStr">
        <is>
          <t>P060312|I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legacy</t>
        </is>
      </c>
      <c r="H92" s="2" t="inlineStr">
        <is>
          <t>initial release</t>
        </is>
      </c>
      <c r="I92" s="3" t="inlineStr">
        <is>
          <t>OMP1024_01</t>
        </is>
      </c>
      <c r="J92" s="2" t="inlineStr">
        <is>
          <t>P050042</t>
        </is>
      </c>
      <c r="K92" s="2" t="inlineStr">
        <is>
          <t>Orange Punch Mimosa</t>
        </is>
      </c>
      <c r="L92" s="2" t="inlineStr">
        <is>
          <t>Ident A + Ident B + Foreign matter</t>
        </is>
      </c>
      <c r="M92" s="6" t="inlineStr">
        <is>
          <t>—</t>
        </is>
      </c>
      <c r="N92" s="2">
        <f>IFERROR(INDEX('CoQ Register'!$B:$B,MATCH("P050042|I",'CoQ Register'!$S:$S,0)),"—")</f>
        <v/>
      </c>
      <c r="O92" s="2" t="inlineStr">
        <is>
          <t>iCoA-PP-2025-0007</t>
        </is>
      </c>
      <c r="P92" s="2" t="inlineStr">
        <is>
          <t>20.06.2025</t>
        </is>
      </c>
      <c r="Q92" s="2" t="inlineStr">
        <is>
          <t>26.03.2025 – 27.03.2025</t>
        </is>
      </c>
      <c r="R92" s="2" t="inlineStr">
        <is>
          <t>20.06.2025</t>
        </is>
      </c>
      <c r="S92" s="5">
        <f>IFERROR(INDEX('CoQ Register'!$D:$D,MATCH("P050042|I",'CoQ Register'!$S:$S,0)),"")</f>
        <v/>
      </c>
      <c r="T92" s="2" t="inlineStr">
        <is>
          <t>Conforms</t>
        </is>
      </c>
      <c r="U92" s="2" t="inlineStr">
        <is>
          <t>Conforms</t>
        </is>
      </c>
      <c r="V92" s="2" t="inlineStr">
        <is>
          <t>Conforms</t>
        </is>
      </c>
      <c r="W92" s="2" t="inlineStr">
        <is>
          <t>ППК25117, (06.05.2025) [CNP]</t>
        </is>
      </c>
      <c r="X92" s="2" t="inlineStr">
        <is>
          <t>—</t>
        </is>
      </c>
      <c r="Y92" s="2" t="inlineStr">
        <is>
          <t>—</t>
        </is>
      </c>
      <c r="Z92" s="2" t="inlineStr">
        <is>
          <t>—</t>
        </is>
      </c>
      <c r="AA92" s="2" t="inlineStr">
        <is>
          <t>P050042|I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post-SOP</t>
        </is>
      </c>
      <c r="H93" s="2" t="inlineStr">
        <is>
          <t>initial release</t>
        </is>
      </c>
      <c r="I93" s="3" t="inlineStr">
        <is>
          <t>SCR012601*</t>
        </is>
      </c>
      <c r="J93" s="2" t="inlineStr">
        <is>
          <t>P060342</t>
        </is>
      </c>
      <c r="K93" s="2" t="inlineStr">
        <is>
          <t>Scrambler</t>
        </is>
      </c>
      <c r="L93" s="2" t="inlineStr">
        <is>
          <t>Ident A + Ident B + Foreign matter</t>
        </is>
      </c>
      <c r="M93" s="6" t="inlineStr">
        <is>
          <t>—</t>
        </is>
      </c>
      <c r="N93" s="2">
        <f>IFERROR(INDEX('CoQ Register'!$B:$B,MATCH("P060342|I",'CoQ Register'!$S:$S,0)),"—")</f>
        <v/>
      </c>
      <c r="O93" s="6" t="inlineStr">
        <is>
          <t>—</t>
        </is>
      </c>
      <c r="P93" s="2" t="inlineStr">
        <is>
          <t>—</t>
        </is>
      </c>
      <c r="Q93" s="2" t="inlineStr">
        <is>
          <t>16.04.2026</t>
        </is>
      </c>
      <c r="R93" s="2" t="inlineStr">
        <is>
          <t>25.05.2026 (the issuance plan's basis: —)</t>
        </is>
      </c>
      <c r="S93" s="5">
        <f>IFERROR(INDEX('CoQ Register'!$D:$D,MATCH("P060342|I",'CoQ Register'!$S:$S,0)),"")</f>
        <v/>
      </c>
      <c r="T93" s="2" t="inlineStr">
        <is>
          <t>Conforms</t>
        </is>
      </c>
      <c r="U93" s="2" t="inlineStr">
        <is>
          <t>Conforms</t>
        </is>
      </c>
      <c r="V93" s="2" t="inlineStr">
        <is>
          <t>Conforms</t>
        </is>
      </c>
      <c r="W93" s="2" t="inlineStr">
        <is>
          <t>— no cannabinoid certificate from the initial testing —</t>
        </is>
      </c>
      <c r="X93" s="2" t="inlineStr">
        <is>
          <t>—</t>
        </is>
      </c>
      <c r="Y93" s="2" t="inlineStr">
        <is>
          <t>—</t>
        </is>
      </c>
      <c r="Z93" s="2" t="inlineStr">
        <is>
          <t>—</t>
        </is>
      </c>
      <c r="AA93" s="2" t="inlineStr">
        <is>
          <t>P060342|I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1</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Donutz</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Market</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Donutz</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Donutz</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Register'!$B:$B,MATCH("P050222|R",'CoQ Register'!$S:$S,0)),"—")</f>
        <v/>
      </c>
      <c r="O127" s="6" t="inlineStr">
        <is>
          <t>—</t>
        </is>
      </c>
      <c r="P127" s="2" t="inlineStr">
        <is>
          <t>24.11.2026</t>
        </is>
      </c>
      <c r="Q127" s="2" t="inlineStr">
        <is>
          <t>23.09.2025</t>
        </is>
      </c>
      <c r="R127" s="2" t="inlineStr">
        <is>
          <t>24.11.2025 – 25.11.2025</t>
        </is>
      </c>
      <c r="S127" s="5">
        <f>IFERROR(INDEX('CoQ Register'!$D:$D,MATCH("P050222|R",'CoQ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1</t>
        </is>
      </c>
      <c r="I137" s="3" t="inlineStr">
        <is>
          <t>GRC102501</t>
        </is>
      </c>
      <c r="J137" s="2" t="inlineStr">
        <is>
          <t>P060182</t>
        </is>
      </c>
      <c r="K137" s="2" t="inlineStr">
        <is>
          <t>Graps &amp; Creme</t>
        </is>
      </c>
      <c r="L137" s="2" t="inlineStr">
        <is>
          <t>Ident A + Ident B + Foreign matter</t>
        </is>
      </c>
      <c r="M137" s="6" t="inlineStr">
        <is>
          <t>—</t>
        </is>
      </c>
      <c r="N137" s="2">
        <f>IFERROR(INDEX('CoQ Register'!$B:$B,MATCH("P060182|R",'CoQ Register'!$S:$S,0)),"—")</f>
        <v/>
      </c>
      <c r="O137" s="6" t="inlineStr">
        <is>
          <t>—</t>
        </is>
      </c>
      <c r="P137" s="2" t="inlineStr">
        <is>
          <t>14.03.2027</t>
        </is>
      </c>
      <c r="Q137" s="2" t="inlineStr">
        <is>
          <t>20.01.2026</t>
        </is>
      </c>
      <c r="R137" s="2" t="inlineStr">
        <is>
          <t>14.03.2026</t>
        </is>
      </c>
      <c r="S137" s="5">
        <f>IFERROR(INDEX('CoQ Register'!$D:$D,MATCH("P060182|R",'CoQ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Donutz</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Donutz</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Donutz</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1</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Register'!$B:$B,MATCH("P050042|R",'CoQ Register'!$S:$S,0)),"—")</f>
        <v/>
      </c>
      <c r="O145" s="6" t="inlineStr">
        <is>
          <t>—</t>
        </is>
      </c>
      <c r="P145" s="2" t="inlineStr">
        <is>
          <t>20.06.2026</t>
        </is>
      </c>
      <c r="Q145" s="2" t="inlineStr">
        <is>
          <t>26.03.2025 – 27.03.2025</t>
        </is>
      </c>
      <c r="R145" s="2" t="inlineStr">
        <is>
          <t>20.06.2025</t>
        </is>
      </c>
      <c r="S145" s="5">
        <f>IFERROR(INDEX('CoQ Register'!$D:$D,MATCH("P050042|R",'CoQ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t>
        </is>
      </c>
      <c r="AB145" s="7" t="inlineStr">
        <is>
          <t>registered — retest 1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Donutz</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Market</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Joy</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Crasher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1</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Register'!$B:$B,MATCH("P050142|R",'CoQ Register'!$S:$S,0)),"—")</f>
        <v/>
      </c>
      <c r="O156" s="6" t="inlineStr">
        <is>
          <t>—</t>
        </is>
      </c>
      <c r="P156" s="2" t="inlineStr">
        <is>
          <t>30.09.2026</t>
        </is>
      </c>
      <c r="Q156" s="2" t="inlineStr">
        <is>
          <t>— not given —</t>
        </is>
      </c>
      <c r="R156" s="2" t="inlineStr">
        <is>
          <t>30.09.2025</t>
        </is>
      </c>
      <c r="S156" s="5">
        <f>IFERROR(INDEX('CoQ Register'!$D:$D,MATCH("P050142|R",'CoQ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t>
        </is>
      </c>
      <c r="AB156" s="7" t="inlineStr">
        <is>
          <t>registered — retest 1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1</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t>
        </is>
      </c>
      <c r="AB157" s="7" t="inlineStr">
        <is>
          <t>registered — retest 1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1</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Register'!$B:$B,MATCH("P060222|R",'CoQ Register'!$S:$S,0)),"—")</f>
        <v/>
      </c>
      <c r="O158" s="6" t="inlineStr">
        <is>
          <t>—</t>
        </is>
      </c>
      <c r="P158" s="2" t="inlineStr">
        <is>
          <t>05.03.2027</t>
        </is>
      </c>
      <c r="Q158" s="2" t="inlineStr">
        <is>
          <t>05.02.2026</t>
        </is>
      </c>
      <c r="R158" s="2" t="inlineStr">
        <is>
          <t>24.04.2026 (the issuance plan's basis: 05.03.2026)</t>
        </is>
      </c>
      <c r="S158" s="5">
        <f>IFERROR(INDEX('CoQ Register'!$D:$D,MATCH("P060222|R",'CoQ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t>
        </is>
      </c>
      <c r="AB158" s="7" t="inlineStr">
        <is>
          <t>registered — retest 1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1</t>
        </is>
      </c>
      <c r="I159" s="3" t="inlineStr">
        <is>
          <t>PM072501</t>
        </is>
      </c>
      <c r="J159" s="2" t="inlineStr">
        <is>
          <t>P050272</t>
        </is>
      </c>
      <c r="K159" s="2" t="inlineStr">
        <is>
          <t>Permanent Market</t>
        </is>
      </c>
      <c r="L159" s="2" t="inlineStr">
        <is>
          <t>Ident A + Ident B + Foreign matter</t>
        </is>
      </c>
      <c r="M159" s="6" t="inlineStr">
        <is>
          <t>—</t>
        </is>
      </c>
      <c r="N159" s="2">
        <f>IFERROR(INDEX('CoQ Register'!$B:$B,MATCH("P050272|R",'CoQ Register'!$S:$S,0)),"—")</f>
        <v/>
      </c>
      <c r="O159" s="6" t="inlineStr">
        <is>
          <t>—</t>
        </is>
      </c>
      <c r="P159" s="2" t="inlineStr">
        <is>
          <t>21.01.2027</t>
        </is>
      </c>
      <c r="Q159" s="2" t="inlineStr">
        <is>
          <t>27.10.2025</t>
        </is>
      </c>
      <c r="R159" s="2" t="inlineStr">
        <is>
          <t>02.12.2025 – 03.12.2025 (the issuance plan's basis: 21.01.2026)</t>
        </is>
      </c>
      <c r="S159" s="5">
        <f>IFERROR(INDEX('CoQ Register'!$D:$D,MATCH("P050272|R",'CoQ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t>
        </is>
      </c>
      <c r="AB159" s="7" t="inlineStr">
        <is>
          <t>registered — retest 1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1</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Register'!$B:$B,MATCH("P060342|R",'CoQ Register'!$S:$S,0)),"—")</f>
        <v/>
      </c>
      <c r="O160" s="6" t="inlineStr">
        <is>
          <t>—</t>
        </is>
      </c>
      <c r="P160" s="2" t="inlineStr">
        <is>
          <t>—</t>
        </is>
      </c>
      <c r="Q160" s="2" t="inlineStr">
        <is>
          <t>16.04.2026</t>
        </is>
      </c>
      <c r="R160" s="2" t="inlineStr">
        <is>
          <t>25.05.2026 (the issuance plan's basis: —)</t>
        </is>
      </c>
      <c r="S160" s="5">
        <f>IFERROR(INDEX('CoQ Register'!$D:$D,MATCH("P060342|R",'CoQ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t>
        </is>
      </c>
      <c r="AB160" s="7" t="inlineStr">
        <is>
          <t>registered — retest 1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1</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Register'!$B:$B,MATCH("P060442|R",'CoQ Register'!$S:$S,0)),"—")</f>
        <v/>
      </c>
      <c r="O161" s="6" t="inlineStr">
        <is>
          <t>—</t>
        </is>
      </c>
      <c r="P161" s="2" t="inlineStr">
        <is>
          <t>06.07.2027</t>
        </is>
      </c>
      <c r="Q161" s="2" t="inlineStr">
        <is>
          <t>13.05.2026</t>
        </is>
      </c>
      <c r="R161" s="2" t="inlineStr">
        <is>
          <t>18.06.2026 (the issuance plan's basis: 06.07.2026)</t>
        </is>
      </c>
      <c r="S161" s="5">
        <f>IFERROR(INDEX('CoQ Register'!$D:$D,MATCH("P060442|R",'CoQ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1</t>
        </is>
      </c>
      <c r="I162" s="3" t="inlineStr">
        <is>
          <t>SJ102501</t>
        </is>
      </c>
      <c r="J162" s="2" t="inlineStr">
        <is>
          <t>P060162</t>
        </is>
      </c>
      <c r="K162" s="2" t="inlineStr">
        <is>
          <t>Sleepy Joy</t>
        </is>
      </c>
      <c r="L162" s="2" t="inlineStr">
        <is>
          <t>Ident A + Ident B + Foreign matter</t>
        </is>
      </c>
      <c r="M162" s="6" t="inlineStr">
        <is>
          <t>—</t>
        </is>
      </c>
      <c r="N162" s="2">
        <f>IFERROR(INDEX('CoQ Register'!$B:$B,MATCH("P060162|R",'CoQ Register'!$S:$S,0)),"—")</f>
        <v/>
      </c>
      <c r="O162" s="6" t="inlineStr">
        <is>
          <t>—</t>
        </is>
      </c>
      <c r="P162" s="2" t="inlineStr">
        <is>
          <t>04.03.2027</t>
        </is>
      </c>
      <c r="Q162" s="2" t="inlineStr">
        <is>
          <t>20.01.2026</t>
        </is>
      </c>
      <c r="R162" s="2" t="inlineStr">
        <is>
          <t>09.03.2026 (the issuance plan's basis: 04.03.2026)</t>
        </is>
      </c>
      <c r="S162" s="5">
        <f>IFERROR(INDEX('CoQ Register'!$D:$D,MATCH("P060162|R",'CoQ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t>
        </is>
      </c>
      <c r="AB162" s="7" t="inlineStr">
        <is>
          <t>registered — retest 1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Joy</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1</t>
        </is>
      </c>
      <c r="I164" s="3" t="inlineStr">
        <is>
          <t>WC072501</t>
        </is>
      </c>
      <c r="J164" s="2" t="inlineStr">
        <is>
          <t>P050262</t>
        </is>
      </c>
      <c r="K164" s="2" t="inlineStr">
        <is>
          <t>Wedding Crasher</t>
        </is>
      </c>
      <c r="L164" s="2" t="inlineStr">
        <is>
          <t>Ident A + Ident B + Foreign matter</t>
        </is>
      </c>
      <c r="M164" s="6" t="inlineStr">
        <is>
          <t>—</t>
        </is>
      </c>
      <c r="N164" s="2">
        <f>IFERROR(INDEX('CoQ Register'!$B:$B,MATCH("P050262|R",'CoQ Register'!$S:$S,0)),"—")</f>
        <v/>
      </c>
      <c r="O164" s="6" t="inlineStr">
        <is>
          <t>—</t>
        </is>
      </c>
      <c r="P164" s="2" t="inlineStr">
        <is>
          <t>02.12.2026</t>
        </is>
      </c>
      <c r="Q164" s="2" t="inlineStr">
        <is>
          <t>27.10.2025 – 28.10.2025</t>
        </is>
      </c>
      <c r="R164" s="2" t="inlineStr">
        <is>
          <t>01.12.2025 (the issuance plan's basis: 02.12.2025)</t>
        </is>
      </c>
      <c r="S164" s="5">
        <f>IFERROR(INDEX('CoQ Register'!$D:$D,MATCH("P050262|R",'CoQ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t>
        </is>
      </c>
      <c r="AB164" s="7" t="inlineStr">
        <is>
          <t>registered — retest 1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1</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Register'!$B:$B,MATCH("P060102|R",'CoQ Register'!$S:$S,0)),"—")</f>
        <v/>
      </c>
      <c r="O165" s="6" t="inlineStr">
        <is>
          <t>—</t>
        </is>
      </c>
      <c r="P165" s="2" t="inlineStr">
        <is>
          <t>16.02.2027</t>
        </is>
      </c>
      <c r="Q165" s="2" t="inlineStr">
        <is>
          <t>08.01.2026</t>
        </is>
      </c>
      <c r="R165" s="2" t="inlineStr">
        <is>
          <t>16.02.2026</t>
        </is>
      </c>
      <c r="S165" s="5">
        <f>IFERROR(INDEX('CoQ Register'!$D:$D,MATCH("P060102|R",'CoQ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t>
        </is>
      </c>
      <c r="AB165" s="7" t="inlineStr">
        <is>
          <t>registered — retest 1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1</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t>
        </is>
      </c>
      <c r="AB166" s="7" t="inlineStr">
        <is>
          <t>registered — retest 1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1</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Register'!$B:$B,MATCH("P060252|R",'CoQ Register'!$S:$S,0)),"—")</f>
        <v/>
      </c>
      <c r="O167" s="6" t="inlineStr">
        <is>
          <t>—</t>
        </is>
      </c>
      <c r="P167" s="2" t="inlineStr">
        <is>
          <t>11.05.2027</t>
        </is>
      </c>
      <c r="Q167" s="2" t="inlineStr">
        <is>
          <t>25.03.2026</t>
        </is>
      </c>
      <c r="R167" s="2" t="inlineStr">
        <is>
          <t>05.05.2026 (the issuance plan's basis: 11.05.2026)</t>
        </is>
      </c>
      <c r="S167" s="5">
        <f>IFERROR(INDEX('CoQ Register'!$D:$D,MATCH("P060252|R",'CoQ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t>
        </is>
      </c>
      <c r="AB167" s="7" t="inlineStr">
        <is>
          <t>registered — retest 1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1</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t>
        </is>
      </c>
      <c r="AB169" s="7" t="inlineStr">
        <is>
          <t>registered — retest 1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1</t>
        </is>
      </c>
      <c r="I170" s="3" t="inlineStr">
        <is>
          <t>GRC102501</t>
        </is>
      </c>
      <c r="J170" s="2" t="inlineStr">
        <is>
          <t>P060142</t>
        </is>
      </c>
      <c r="K170" s="2" t="inlineStr">
        <is>
          <t>Graps &amp; Creme</t>
        </is>
      </c>
      <c r="L170" s="2" t="inlineStr">
        <is>
          <t>Ident A + Ident B + Foreign matter</t>
        </is>
      </c>
      <c r="M170" s="6" t="inlineStr">
        <is>
          <t>—</t>
        </is>
      </c>
      <c r="N170" s="2">
        <f>IFERROR(INDEX('CoQ Register'!$B:$B,MATCH("P060142|R",'CoQ Register'!$S:$S,0)),"—")</f>
        <v/>
      </c>
      <c r="O170" s="6" t="inlineStr">
        <is>
          <t>—</t>
        </is>
      </c>
      <c r="P170" s="2" t="inlineStr">
        <is>
          <t>23.02.2027</t>
        </is>
      </c>
      <c r="Q170" s="2" t="inlineStr">
        <is>
          <t>09.01.2026</t>
        </is>
      </c>
      <c r="R170" s="2" t="inlineStr">
        <is>
          <t>23.02.2026</t>
        </is>
      </c>
      <c r="S170" s="5">
        <f>IFERROR(INDEX('CoQ Register'!$D:$D,MATCH("P060142|R",'CoQ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t>
        </is>
      </c>
      <c r="AB170" s="7" t="inlineStr">
        <is>
          <t>registered — retest 1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1</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Register'!$B:$B,MATCH("P060262|R",'CoQ Register'!$S:$S,0)),"—")</f>
        <v/>
      </c>
      <c r="O172" s="6" t="inlineStr">
        <is>
          <t>—</t>
        </is>
      </c>
      <c r="P172" s="2" t="inlineStr">
        <is>
          <t>23.04.2027</t>
        </is>
      </c>
      <c r="Q172" s="2" t="inlineStr">
        <is>
          <t>04.03.2026</t>
        </is>
      </c>
      <c r="R172" s="2" t="inlineStr">
        <is>
          <t>14.05.2026 (the issuance plan's basis: 23.04.2026)</t>
        </is>
      </c>
      <c r="S172" s="5">
        <f>IFERROR(INDEX('CoQ Register'!$D:$D,MATCH("P060262|R",'CoQ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t>
        </is>
      </c>
      <c r="AB172" s="7" t="inlineStr">
        <is>
          <t>registered — retest 1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1</t>
        </is>
      </c>
      <c r="I173" s="3" t="inlineStr">
        <is>
          <t>JD012601＊</t>
        </is>
      </c>
      <c r="J173" s="2" t="inlineStr">
        <is>
          <t>P060312</t>
        </is>
      </c>
      <c r="K173" s="2" t="inlineStr">
        <is>
          <t>Jelly Donutz</t>
        </is>
      </c>
      <c r="L173" s="2" t="inlineStr">
        <is>
          <t>Ident A + Ident B + Foreign matter</t>
        </is>
      </c>
      <c r="M173" s="6" t="inlineStr">
        <is>
          <t>—</t>
        </is>
      </c>
      <c r="N173" s="2">
        <f>IFERROR(INDEX('CoQ Register'!$B:$B,MATCH("P060312|R",'CoQ Register'!$S:$S,0)),"—")</f>
        <v/>
      </c>
      <c r="O173" s="6" t="inlineStr">
        <is>
          <t>—</t>
        </is>
      </c>
      <c r="P173" s="2" t="inlineStr">
        <is>
          <t>11.05.2027</t>
        </is>
      </c>
      <c r="Q173" s="2" t="inlineStr">
        <is>
          <t>27.03.2026</t>
        </is>
      </c>
      <c r="R173" s="2" t="inlineStr">
        <is>
          <t>21.05.2026 (the issuance plan's basis: 11.05.2026)</t>
        </is>
      </c>
      <c r="S173" s="5">
        <f>IFERROR(INDEX('CoQ Register'!$D:$D,MATCH("P060312|R",'CoQ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t>
        </is>
      </c>
      <c r="AB173" s="7" t="inlineStr">
        <is>
          <t>registered — retest 1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1</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t>
        </is>
      </c>
      <c r="AB174" s="7" t="inlineStr">
        <is>
          <t>registered — retest 1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1</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t>
        </is>
      </c>
      <c r="AB175" s="7" t="inlineStr">
        <is>
          <t>registered — retest 1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1</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Register'!$B:$B,MATCH("P060052|R",'CoQ Register'!$S:$S,0)),"—")</f>
        <v/>
      </c>
      <c r="O176" s="6" t="inlineStr">
        <is>
          <t>—</t>
        </is>
      </c>
      <c r="P176" s="2" t="inlineStr">
        <is>
          <t>20.02.2027</t>
        </is>
      </c>
      <c r="Q176" s="2" t="inlineStr">
        <is>
          <t>11.12.2025</t>
        </is>
      </c>
      <c r="R176" s="2" t="inlineStr">
        <is>
          <t>30.01.2026 (the issuance plan's basis: 20.02.2026)</t>
        </is>
      </c>
      <c r="S176" s="5">
        <f>IFERROR(INDEX('CoQ Register'!$D:$D,MATCH("P060052|R",'CoQ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t>
        </is>
      </c>
      <c r="AB176" s="7" t="inlineStr">
        <is>
          <t>registered — retest 1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t>
        </is>
      </c>
      <c r="H177" s="2" t="inlineStr">
        <is>
          <t>retest 1</t>
        </is>
      </c>
      <c r="I177" s="3" t="inlineStr">
        <is>
          <t>BSS1024_01</t>
        </is>
      </c>
      <c r="J177" s="2" t="inlineStr">
        <is>
          <t>P050122</t>
        </is>
      </c>
      <c r="K177" s="2" t="inlineStr">
        <is>
          <t>Blue Sunset Sherbet</t>
        </is>
      </c>
      <c r="L177" s="2" t="inlineStr">
        <is>
          <t>Ident A + Ident B + Foreign matter</t>
        </is>
      </c>
      <c r="M177" s="6" t="inlineStr">
        <is>
          <t>—</t>
        </is>
      </c>
      <c r="N177" s="2">
        <f>IFERROR(INDEX('CoQ Register'!$B:$B,MATCH("P050122|R",'CoQ Register'!$S:$S,0)),"—")</f>
        <v/>
      </c>
      <c r="O177" s="6" t="inlineStr">
        <is>
          <t>—</t>
        </is>
      </c>
      <c r="P177" s="2" t="inlineStr">
        <is>
          <t>—</t>
        </is>
      </c>
      <c r="Q177" s="2" t="inlineStr">
        <is>
          <t>—</t>
        </is>
      </c>
      <c r="R177" s="2" t="inlineStr">
        <is>
          <t>—</t>
        </is>
      </c>
      <c r="S177" s="5">
        <f>IFERROR(INDEX('CoQ Register'!$D:$D,MATCH("P050122|R",'CoQ Register'!$S:$S,0)),"")</f>
        <v/>
      </c>
      <c r="T177" s="2" t="inlineStr">
        <is>
          <t>—</t>
        </is>
      </c>
      <c r="U177" s="2" t="inlineStr">
        <is>
          <t>—</t>
        </is>
      </c>
      <c r="V177" s="2" t="inlineStr">
        <is>
          <t>—</t>
        </is>
      </c>
      <c r="W177" s="2" t="inlineStr">
        <is>
          <t>—</t>
        </is>
      </c>
      <c r="X177" s="2" t="inlineStr">
        <is>
          <t>—</t>
        </is>
      </c>
      <c r="Y177" s="2" t="inlineStr">
        <is>
          <t>—</t>
        </is>
      </c>
      <c r="Z177" s="2" t="inlineStr">
        <is>
          <t>—</t>
        </is>
      </c>
      <c r="AA177" s="2" t="inlineStr">
        <is>
          <t>P050122|R</t>
        </is>
      </c>
      <c r="AB177" s="7" t="inlineStr">
        <is>
          <t>registered — retest 1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1</t>
        </is>
      </c>
      <c r="I178" s="3" t="inlineStr">
        <is>
          <t>CC112501</t>
        </is>
      </c>
      <c r="J178" s="2" t="inlineStr">
        <is>
          <t>P060272</t>
        </is>
      </c>
      <c r="K178" s="2" t="inlineStr">
        <is>
          <t>Cash Cow</t>
        </is>
      </c>
      <c r="L178" s="2" t="inlineStr">
        <is>
          <t>Ident A + Ident B + Foreign matter</t>
        </is>
      </c>
      <c r="M178" s="6" t="inlineStr">
        <is>
          <t>—</t>
        </is>
      </c>
      <c r="N178" s="2">
        <f>IFERROR(INDEX('CoQ Register'!$B:$B,MATCH("P060272|R",'CoQ Register'!$S:$S,0)),"—")</f>
        <v/>
      </c>
      <c r="O178" s="6" t="inlineStr">
        <is>
          <t>—</t>
        </is>
      </c>
      <c r="P178" s="2" t="inlineStr">
        <is>
          <t>11.05.2027</t>
        </is>
      </c>
      <c r="Q178" s="2" t="inlineStr">
        <is>
          <t>25.03.2026</t>
        </is>
      </c>
      <c r="R178" s="2" t="inlineStr">
        <is>
          <t>18.05.2026 (the issuance plan's basis: 11.05.2026)</t>
        </is>
      </c>
      <c r="S178" s="5">
        <f>IFERROR(INDEX('CoQ Register'!$D:$D,MATCH("P060272|R",'CoQ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t>
        </is>
      </c>
      <c r="AB178" s="7" t="inlineStr">
        <is>
          <t>registered — retest 1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1</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Register'!$B:$B,MATCH("P050172|R",'CoQ Register'!$S:$S,0)),"—")</f>
        <v/>
      </c>
      <c r="O179" s="6" t="inlineStr">
        <is>
          <t>—</t>
        </is>
      </c>
      <c r="P179" s="2" t="inlineStr">
        <is>
          <t>17.09.2026</t>
        </is>
      </c>
      <c r="Q179" s="2" t="inlineStr">
        <is>
          <t>20.08.2025</t>
        </is>
      </c>
      <c r="R179" s="2" t="inlineStr">
        <is>
          <t>01.10.2025 – 02.10.2025 (the issuance plan's basis: 17.09.2025)</t>
        </is>
      </c>
      <c r="S179" s="5">
        <f>IFERROR(INDEX('CoQ Register'!$D:$D,MATCH("P050172|R",'CoQ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t>
        </is>
      </c>
      <c r="AB179" s="7" t="inlineStr">
        <is>
          <t>registered — retest 1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1</t>
        </is>
      </c>
      <c r="I180" s="3" t="inlineStr">
        <is>
          <t>CJ072501</t>
        </is>
      </c>
      <c r="J180" s="2" t="inlineStr">
        <is>
          <t>P050252</t>
        </is>
      </c>
      <c r="K180" s="2" t="inlineStr">
        <is>
          <t>Cap Junky</t>
        </is>
      </c>
      <c r="L180" s="2" t="inlineStr">
        <is>
          <t>Ident A + Ident B + Foreign matter</t>
        </is>
      </c>
      <c r="M180" s="6" t="inlineStr">
        <is>
          <t>—</t>
        </is>
      </c>
      <c r="N180" s="2">
        <f>IFERROR(INDEX('CoQ Register'!$B:$B,MATCH("P050252|R",'CoQ Register'!$S:$S,0)),"—")</f>
        <v/>
      </c>
      <c r="O180" s="6" t="inlineStr">
        <is>
          <t>—</t>
        </is>
      </c>
      <c r="P180" s="2" t="inlineStr">
        <is>
          <t>02.12.2026</t>
        </is>
      </c>
      <c r="Q180" s="2" t="inlineStr">
        <is>
          <t>27.10.2025</t>
        </is>
      </c>
      <c r="R180" s="2" t="inlineStr">
        <is>
          <t>27.11.2025 – 28.11.2025 (the issuance plan's basis: 02.12.2025)</t>
        </is>
      </c>
      <c r="S180" s="5">
        <f>IFERROR(INDEX('CoQ Register'!$D:$D,MATCH("P050252|R",'CoQ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t>
        </is>
      </c>
      <c r="AB180" s="7" t="inlineStr">
        <is>
          <t>registered — retest 1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1</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Register'!$B:$B,MATCH("CJ1024|R",'CoQ Register'!$S:$S,0)),"—")</f>
        <v/>
      </c>
      <c r="O181" s="6" t="inlineStr">
        <is>
          <t>—</t>
        </is>
      </c>
      <c r="P181" s="2" t="inlineStr">
        <is>
          <t>27.02.2026</t>
        </is>
      </c>
      <c r="Q181" s="2" t="inlineStr">
        <is>
          <t>20.01.2025</t>
        </is>
      </c>
      <c r="R181" s="2" t="inlineStr">
        <is>
          <t>03.03.2025 (the issuance plan's basis: 27.02.2025)</t>
        </is>
      </c>
      <c r="S181" s="5">
        <f>IFERROR(INDEX('CoQ Register'!$D:$D,MATCH("CJ1024|R",'CoQ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t>
        </is>
      </c>
      <c r="AB181" s="7" t="inlineStr">
        <is>
          <t>registered — retest 1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1</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Register'!$B:$B,MATCH("P060432|R",'CoQ Register'!$S:$S,0)),"—")</f>
        <v/>
      </c>
      <c r="O182" s="6" t="inlineStr">
        <is>
          <t>—</t>
        </is>
      </c>
      <c r="P182" s="2" t="inlineStr">
        <is>
          <t>30.06.2027</t>
        </is>
      </c>
      <c r="Q182" s="2" t="inlineStr">
        <is>
          <t>04.05.2026</t>
        </is>
      </c>
      <c r="R182" s="2" t="inlineStr">
        <is>
          <t>15.06.2026 (the issuance plan's basis: 30.06.2026)</t>
        </is>
      </c>
      <c r="S182" s="5">
        <f>IFERROR(INDEX('CoQ Register'!$D:$D,MATCH("P060432|R",'CoQ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t>
        </is>
      </c>
      <c r="AB182" s="7" t="inlineStr">
        <is>
          <t>registered — retest 1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1</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Register'!$B:$B,MATCH("P060392|R",'CoQ Register'!$S:$S,0)),"—")</f>
        <v/>
      </c>
      <c r="O183" s="6" t="inlineStr">
        <is>
          <t>—</t>
        </is>
      </c>
      <c r="P183" s="2" t="inlineStr">
        <is>
          <t>30.06.2027</t>
        </is>
      </c>
      <c r="Q183" s="2" t="inlineStr">
        <is>
          <t>29.04.2026</t>
        </is>
      </c>
      <c r="R183" s="2" t="inlineStr">
        <is>
          <t>23.05.2026 (the issuance plan's basis: 30.06.2026)</t>
        </is>
      </c>
      <c r="S183" s="5">
        <f>IFERROR(INDEX('CoQ Register'!$D:$D,MATCH("P060392|R",'CoQ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t>
        </is>
      </c>
      <c r="AB183" s="7" t="inlineStr">
        <is>
          <t>registered — retest 1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1</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Register'!$B:$B,MATCH("P060292|R",'CoQ Register'!$S:$S,0)),"—")</f>
        <v/>
      </c>
      <c r="O184" s="6" t="inlineStr">
        <is>
          <t>—</t>
        </is>
      </c>
      <c r="P184" s="2" t="inlineStr">
        <is>
          <t>11.05.2027</t>
        </is>
      </c>
      <c r="Q184" s="2" t="inlineStr">
        <is>
          <t>25.03.2026</t>
        </is>
      </c>
      <c r="R184" s="2" t="inlineStr">
        <is>
          <t>19.05.2026 (the issuance plan's basis: 11.05.2026)</t>
        </is>
      </c>
      <c r="S184" s="5">
        <f>IFERROR(INDEX('CoQ Register'!$D:$D,MATCH("P060292|R",'CoQ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t>
        </is>
      </c>
      <c r="AB184" s="7" t="inlineStr">
        <is>
          <t>registered — retest 1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1</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Register'!$B:$B,MATCH("P060302|R",'CoQ Register'!$S:$S,0)),"—")</f>
        <v/>
      </c>
      <c r="O185" s="6" t="inlineStr">
        <is>
          <t>—</t>
        </is>
      </c>
      <c r="P185" s="2" t="inlineStr">
        <is>
          <t>11.05.2027</t>
        </is>
      </c>
      <c r="Q185" s="2" t="inlineStr">
        <is>
          <t>27.03.2026</t>
        </is>
      </c>
      <c r="R185" s="2" t="inlineStr">
        <is>
          <t>20.05.2026 (the issuance plan's basis: 11.05.2026)</t>
        </is>
      </c>
      <c r="S185" s="5">
        <f>IFERROR(INDEX('CoQ Register'!$D:$D,MATCH("P060302|R",'CoQ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t>
        </is>
      </c>
      <c r="AB185" s="7" t="inlineStr">
        <is>
          <t>registered — retest 1 · Tranche 3 (sampled 19–21.08.2026), tested 21.08.2026, issued 24.08.2026</t>
        </is>
      </c>
    </row>
    <row r="186">
      <c r="A186" s="2" t="inlineStr"/>
      <c r="B186" s="3" t="inlineStr">
        <is>
          <t>— at issue —</t>
        </is>
      </c>
      <c r="C186" s="6" t="inlineStr">
        <is>
          <t>no</t>
        </is>
      </c>
      <c r="D186" s="5">
        <f>IF(A186="","",IF(ISNUMBER(E186),MAX(DATE(2026,6,3),E186),DATE(2026,6,3)))</f>
        <v/>
      </c>
      <c r="E186" s="5">
        <f>IFERROR(INDEX('Batch Dates'!$F:$F,MATCH(J186,'Batch Dates'!$C:$C,0)),IFERROR(INDEX('Batch Dates'!$F:$F,MATCH(I186,'Batch Dates'!$B:$B,0)),""))</f>
        <v/>
      </c>
      <c r="F186" s="5">
        <f>IFERROR(INDEX('Batch Dates'!$G:$G,MATCH(J186,'Batch Dates'!$C:$C,0)),IFERROR(INDEX('Batch Dates'!$G:$G,MATCH(I186,'Batch Dates'!$B:$B,0)),""))</f>
        <v/>
      </c>
      <c r="G186" s="2" t="inlineStr">
        <is>
          <t>—</t>
        </is>
      </c>
      <c r="H186" s="2" t="inlineStr">
        <is>
          <t>initial release</t>
        </is>
      </c>
      <c r="I186" s="3" t="inlineStr">
        <is>
          <t>JD112501＊</t>
        </is>
      </c>
      <c r="J186" s="2" t="inlineStr">
        <is>
          <t>N/A — no P batch assigned</t>
        </is>
      </c>
      <c r="K186" s="2" t="inlineStr">
        <is>
          <t>Jelly Donutz</t>
        </is>
      </c>
      <c r="L186" s="2" t="inlineStr">
        <is>
          <t>Ident A + Ident B + Foreign matter</t>
        </is>
      </c>
      <c r="M186" s="6" t="inlineStr">
        <is>
          <t>—</t>
        </is>
      </c>
      <c r="N186" s="2">
        <f>IFERROR(INDEX('CoQ Register'!$B:$B,MATCH("JD112501|I",'CoQ Register'!$S:$S,0)),"—")</f>
        <v/>
      </c>
      <c r="O186" s="2" t="inlineStr">
        <is>
          <t>iCoA-PP-2026-0015</t>
        </is>
      </c>
      <c r="P186" s="2" t="inlineStr">
        <is>
          <t>21.04.2026</t>
        </is>
      </c>
      <c r="Q186" s="2" t="inlineStr">
        <is>
          <t>— not on the list —</t>
        </is>
      </c>
      <c r="R186" s="2" t="inlineStr">
        <is>
          <t>— not on the list —</t>
        </is>
      </c>
      <c r="S186" s="5">
        <f>IFERROR(INDEX('CoQ Register'!$D:$D,MATCH("JD112501|I",'CoQ Register'!$S:$S,0)),"")</f>
        <v/>
      </c>
      <c r="T186" s="2" t="inlineStr">
        <is>
          <t>Conforms</t>
        </is>
      </c>
      <c r="U186" s="2" t="inlineStr">
        <is>
          <t>Conforms</t>
        </is>
      </c>
      <c r="V186" s="2" t="inlineStr">
        <is>
          <t>Conforms</t>
        </is>
      </c>
      <c r="W186" s="2" t="inlineStr">
        <is>
          <t>— no cannabinoid certificate from the initial testing —</t>
        </is>
      </c>
      <c r="X186" s="2" t="inlineStr">
        <is>
          <t>—</t>
        </is>
      </c>
      <c r="Y186" s="2" t="inlineStr">
        <is>
          <t>—</t>
        </is>
      </c>
      <c r="Z186" s="2" t="inlineStr">
        <is>
          <t>—</t>
        </is>
      </c>
      <c r="AA186" s="2" t="inlineStr">
        <is>
          <t>JD112501|I</t>
        </is>
      </c>
      <c r="AB186" s="8" t="inlineStr">
        <is>
          <t>not yet issuable — no packaging date on the list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t>
        </is>
      </c>
      <c r="H187" s="2" t="inlineStr">
        <is>
          <t>retest — not yet sampled</t>
        </is>
      </c>
      <c r="I187" s="3" t="inlineStr">
        <is>
          <t>JD112501＊</t>
        </is>
      </c>
      <c r="J187" s="2" t="inlineStr">
        <is>
          <t>N/A — no P batch assigned</t>
        </is>
      </c>
      <c r="K187" s="2" t="inlineStr">
        <is>
          <t>Jelly Donutz</t>
        </is>
      </c>
      <c r="L187" s="2" t="inlineStr">
        <is>
          <t>Ident A + Ident B + Foreign matter</t>
        </is>
      </c>
      <c r="M187" s="6" t="inlineStr">
        <is>
          <t>—</t>
        </is>
      </c>
      <c r="N187" s="2">
        <f>IFERROR(INDEX('CoQ Register'!$B:$B,MATCH("JD112501|R",'CoQ Register'!$S:$S,0)),"—")</f>
        <v/>
      </c>
      <c r="O187" s="6" t="inlineStr">
        <is>
          <t>—</t>
        </is>
      </c>
      <c r="P187" s="2" t="inlineStr">
        <is>
          <t>21.04.2027</t>
        </is>
      </c>
      <c r="Q187" s="2" t="inlineStr">
        <is>
          <t>— not on the list —</t>
        </is>
      </c>
      <c r="R187" s="2" t="inlineStr">
        <is>
          <t>— not on the list —</t>
        </is>
      </c>
      <c r="S187" s="5">
        <f>IFERROR(INDEX('CoQ Register'!$D:$D,MATCH("JD112501|R",'CoQ Register'!$S:$S,0)),"")</f>
        <v/>
      </c>
      <c r="T187" s="2" t="inlineStr">
        <is>
          <t>to test</t>
        </is>
      </c>
      <c r="U187" s="2" t="inlineStr">
        <is>
          <t>to test</t>
        </is>
      </c>
      <c r="V187" s="2" t="inlineStr">
        <is>
          <t>to test</t>
        </is>
      </c>
      <c r="W187" s="2" t="inlineStr">
        <is>
          <t>— retest assay not yet on file —</t>
        </is>
      </c>
      <c r="X187" s="2" t="inlineStr">
        <is>
          <t>— pending —</t>
        </is>
      </c>
      <c r="Y187" s="2" t="inlineStr">
        <is>
          <t>— pending —</t>
        </is>
      </c>
      <c r="Z187" s="2" t="inlineStr">
        <is>
          <t>#8, #9, #11, #12 from the initial testing</t>
        </is>
      </c>
      <c r="AA187" s="2" t="inlineStr">
        <is>
          <t>JD112501|R</t>
        </is>
      </c>
      <c r="AB187" s="8" t="inlineStr">
        <is>
          <t>not yet issuable — no campaign sampling date on file</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post-SOP</t>
        </is>
      </c>
      <c r="H188" s="2" t="inlineStr">
        <is>
          <t>retest — not yet sampled</t>
        </is>
      </c>
      <c r="I188" s="3" t="inlineStr">
        <is>
          <t>JD022601</t>
        </is>
      </c>
      <c r="J188" s="2" t="inlineStr">
        <is>
          <t>P060482</t>
        </is>
      </c>
      <c r="K188" s="2" t="inlineStr">
        <is>
          <t>Jelly Donutz</t>
        </is>
      </c>
      <c r="L188" s="2" t="inlineStr">
        <is>
          <t>Ident A + Ident B + Foreign matter</t>
        </is>
      </c>
      <c r="M188" s="6" t="inlineStr">
        <is>
          <t>—</t>
        </is>
      </c>
      <c r="N188" s="2">
        <f>IFERROR(INDEX('CoQ Register'!$B:$B,MATCH("P060482|R",'CoQ Register'!$S:$S,0)),"—")</f>
        <v/>
      </c>
      <c r="O188" s="6" t="inlineStr">
        <is>
          <t>—</t>
        </is>
      </c>
      <c r="P188" s="2" t="inlineStr">
        <is>
          <t>30.06.2027</t>
        </is>
      </c>
      <c r="Q188" s="2" t="inlineStr">
        <is>
          <t>18.05.2026</t>
        </is>
      </c>
      <c r="R188" s="2" t="inlineStr">
        <is>
          <t>05.08.2026 (the issuance plan's basis: 30.06.2026)</t>
        </is>
      </c>
      <c r="S188" s="5">
        <f>IFERROR(INDEX('CoQ Register'!$D:$D,MATCH("P060482|R",'CoQ Register'!$S:$S,0)),"")</f>
        <v/>
      </c>
      <c r="T188" s="2" t="inlineStr">
        <is>
          <t>to test</t>
        </is>
      </c>
      <c r="U188" s="2" t="inlineStr">
        <is>
          <t>to test</t>
        </is>
      </c>
      <c r="V188" s="2" t="inlineStr">
        <is>
          <t>to test</t>
        </is>
      </c>
      <c r="W188" s="2" t="inlineStr">
        <is>
          <t>— retest assay not yet on file —</t>
        </is>
      </c>
      <c r="X188" s="2" t="inlineStr">
        <is>
          <t>— pending —</t>
        </is>
      </c>
      <c r="Y188" s="2" t="inlineStr">
        <is>
          <t>— pending —</t>
        </is>
      </c>
      <c r="Z188" s="2" t="inlineStr">
        <is>
          <t>#8, #9, #11, #12 from the initial testing</t>
        </is>
      </c>
      <c r="AA188" s="2" t="inlineStr">
        <is>
          <t>P060482|R</t>
        </is>
      </c>
      <c r="AB188" s="8" t="inlineStr">
        <is>
          <t>not yet issuable — no campaign sampling date on file</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t>
        </is>
      </c>
      <c r="H189" s="2" t="inlineStr">
        <is>
          <t>retest — not yet sampled</t>
        </is>
      </c>
      <c r="I189" s="3" t="inlineStr">
        <is>
          <t>— not recorded — (P160012)</t>
        </is>
      </c>
      <c r="J189" s="2" t="inlineStr">
        <is>
          <t>P160012</t>
        </is>
      </c>
      <c r="K189" s="2" t="inlineStr"/>
      <c r="L189" s="2" t="inlineStr">
        <is>
          <t>Ident A + Ident B + Foreign matter</t>
        </is>
      </c>
      <c r="M189" s="6" t="inlineStr">
        <is>
          <t>—</t>
        </is>
      </c>
      <c r="N189" s="2">
        <f>IFERROR(INDEX('CoQ Register'!$B:$B,MATCH("P160012|R",'CoQ Register'!$S:$S,0)),"—")</f>
        <v/>
      </c>
      <c r="O189" s="6" t="inlineStr">
        <is>
          <t>—</t>
        </is>
      </c>
      <c r="P189" s="2" t="inlineStr">
        <is>
          <t>06.07.2027</t>
        </is>
      </c>
      <c r="Q189" s="2" t="inlineStr">
        <is>
          <t>— not on the list —</t>
        </is>
      </c>
      <c r="R189" s="2" t="inlineStr">
        <is>
          <t>— not on the list —</t>
        </is>
      </c>
      <c r="S189" s="5">
        <f>IFERROR(INDEX('CoQ Register'!$D:$D,MATCH("P160012|R",'CoQ Register'!$S:$S,0)),"")</f>
        <v/>
      </c>
      <c r="T189" s="2" t="inlineStr">
        <is>
          <t>to test</t>
        </is>
      </c>
      <c r="U189" s="2" t="inlineStr">
        <is>
          <t>to test</t>
        </is>
      </c>
      <c r="V189" s="2" t="inlineStr">
        <is>
          <t>to test</t>
        </is>
      </c>
      <c r="W189" s="2" t="inlineStr">
        <is>
          <t>— retest assay not yet on file —</t>
        </is>
      </c>
      <c r="X189" s="2" t="inlineStr">
        <is>
          <t>— pending —</t>
        </is>
      </c>
      <c r="Y189" s="2" t="inlineStr">
        <is>
          <t>— pending —</t>
        </is>
      </c>
      <c r="Z189" s="2" t="inlineStr">
        <is>
          <t>#8, #9, #11, #12 from the initial testing</t>
        </is>
      </c>
      <c r="AA189" s="2" t="inlineStr">
        <is>
          <t>P160012|R</t>
        </is>
      </c>
      <c r="AB189" s="8" t="inlineStr">
        <is>
          <t>not yet issuable — no campaign sampling date on file</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t>
        </is>
      </c>
      <c r="H190" s="2" t="inlineStr">
        <is>
          <t>retest — not yet sampled</t>
        </is>
      </c>
      <c r="I190" s="3" t="inlineStr">
        <is>
          <t>— not recorded — (P160022)</t>
        </is>
      </c>
      <c r="J190" s="2" t="inlineStr">
        <is>
          <t>P160022</t>
        </is>
      </c>
      <c r="K190" s="2" t="inlineStr"/>
      <c r="L190" s="2" t="inlineStr">
        <is>
          <t>Ident A + Ident B + Foreign matter</t>
        </is>
      </c>
      <c r="M190" s="6" t="inlineStr">
        <is>
          <t>—</t>
        </is>
      </c>
      <c r="N190" s="2">
        <f>IFERROR(INDEX('CoQ Register'!$B:$B,MATCH("P160022|R",'CoQ Register'!$S:$S,0)),"—")</f>
        <v/>
      </c>
      <c r="O190" s="6" t="inlineStr">
        <is>
          <t>—</t>
        </is>
      </c>
      <c r="P190" s="2" t="inlineStr">
        <is>
          <t>06.07.2027</t>
        </is>
      </c>
      <c r="Q190" s="2" t="inlineStr">
        <is>
          <t>— not on the list —</t>
        </is>
      </c>
      <c r="R190" s="2" t="inlineStr">
        <is>
          <t>— not on the list —</t>
        </is>
      </c>
      <c r="S190" s="5">
        <f>IFERROR(INDEX('CoQ Register'!$D:$D,MATCH("P160022|R",'CoQ Register'!$S:$S,0)),"")</f>
        <v/>
      </c>
      <c r="T190" s="2" t="inlineStr">
        <is>
          <t>to test</t>
        </is>
      </c>
      <c r="U190" s="2" t="inlineStr">
        <is>
          <t>to test</t>
        </is>
      </c>
      <c r="V190" s="2" t="inlineStr">
        <is>
          <t>to test</t>
        </is>
      </c>
      <c r="W190" s="2" t="inlineStr">
        <is>
          <t>— retest assay not yet on file —</t>
        </is>
      </c>
      <c r="X190" s="2" t="inlineStr">
        <is>
          <t>— pending —</t>
        </is>
      </c>
      <c r="Y190" s="2" t="inlineStr">
        <is>
          <t>— pending —</t>
        </is>
      </c>
      <c r="Z190" s="2" t="inlineStr">
        <is>
          <t>#8, #9, #11, #12 from the initial testing</t>
        </is>
      </c>
      <c r="AA190" s="2" t="inlineStr">
        <is>
          <t>P160022|R</t>
        </is>
      </c>
      <c r="AB190" s="8" t="inlineStr">
        <is>
          <t>not yet issuable — no campaign sampling date on file</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t>
        </is>
      </c>
      <c r="H191" s="2" t="inlineStr">
        <is>
          <t>retest — not yet sampled</t>
        </is>
      </c>
      <c r="I191" s="3" t="inlineStr">
        <is>
          <t>— not recorded — (P160032)</t>
        </is>
      </c>
      <c r="J191" s="2" t="inlineStr">
        <is>
          <t>P160032</t>
        </is>
      </c>
      <c r="K191" s="2" t="inlineStr"/>
      <c r="L191" s="2" t="inlineStr">
        <is>
          <t>Ident A + Ident B + Foreign matter</t>
        </is>
      </c>
      <c r="M191" s="6" t="inlineStr">
        <is>
          <t>—</t>
        </is>
      </c>
      <c r="N191" s="2">
        <f>IFERROR(INDEX('CoQ Register'!$B:$B,MATCH("P160032|R",'CoQ Register'!$S:$S,0)),"—")</f>
        <v/>
      </c>
      <c r="O191" s="6" t="inlineStr">
        <is>
          <t>—</t>
        </is>
      </c>
      <c r="P191" s="2" t="inlineStr">
        <is>
          <t>06.07.2027</t>
        </is>
      </c>
      <c r="Q191" s="2" t="inlineStr">
        <is>
          <t>— not on the list —</t>
        </is>
      </c>
      <c r="R191" s="2" t="inlineStr">
        <is>
          <t>— not on the list —</t>
        </is>
      </c>
      <c r="S191" s="5">
        <f>IFERROR(INDEX('CoQ Register'!$D:$D,MATCH("P160032|R",'CoQ Register'!$S:$S,0)),"")</f>
        <v/>
      </c>
      <c r="T191" s="2" t="inlineStr">
        <is>
          <t>to test</t>
        </is>
      </c>
      <c r="U191" s="2" t="inlineStr">
        <is>
          <t>to test</t>
        </is>
      </c>
      <c r="V191" s="2" t="inlineStr">
        <is>
          <t>to test</t>
        </is>
      </c>
      <c r="W191" s="2" t="inlineStr">
        <is>
          <t>— retest assay not yet on file —</t>
        </is>
      </c>
      <c r="X191" s="2" t="inlineStr">
        <is>
          <t>— pending —</t>
        </is>
      </c>
      <c r="Y191" s="2" t="inlineStr">
        <is>
          <t>— pending —</t>
        </is>
      </c>
      <c r="Z191" s="2" t="inlineStr">
        <is>
          <t>#8, #9, #11, #12 from the initial testing</t>
        </is>
      </c>
      <c r="AA191" s="2" t="inlineStr">
        <is>
          <t>P160032|R</t>
        </is>
      </c>
      <c r="AB191" s="8" t="inlineStr">
        <is>
          <t>not yet issuable — no campaign sampling date on file</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post-SOP</t>
        </is>
      </c>
      <c r="H192" s="2" t="inlineStr">
        <is>
          <t>retest — not yet sampled</t>
        </is>
      </c>
      <c r="I192" s="3" t="inlineStr">
        <is>
          <t>FB032601</t>
        </is>
      </c>
      <c r="J192" s="2" t="inlineStr">
        <is>
          <t>P060452</t>
        </is>
      </c>
      <c r="K192" s="2" t="inlineStr">
        <is>
          <t>Fat Bastard</t>
        </is>
      </c>
      <c r="L192" s="2" t="inlineStr">
        <is>
          <t>Ident A + Ident B + Foreign matter</t>
        </is>
      </c>
      <c r="M192" s="6" t="inlineStr">
        <is>
          <t>—</t>
        </is>
      </c>
      <c r="N192" s="2">
        <f>IFERROR(INDEX('CoQ Register'!$B:$B,MATCH("P060452|R",'CoQ Register'!$S:$S,0)),"—")</f>
        <v/>
      </c>
      <c r="O192" s="6" t="inlineStr">
        <is>
          <t>—</t>
        </is>
      </c>
      <c r="P192" s="2" t="inlineStr">
        <is>
          <t>21.07.2027</t>
        </is>
      </c>
      <c r="Q192" s="2" t="inlineStr">
        <is>
          <t>02.06.2026</t>
        </is>
      </c>
      <c r="R192" s="2" t="inlineStr">
        <is>
          <t>29.06.2026 (the issuance plan's basis: 21.07.2026)</t>
        </is>
      </c>
      <c r="S192" s="5">
        <f>IFERROR(INDEX('CoQ Register'!$D:$D,MATCH("P060452|R",'CoQ Register'!$S:$S,0)),"")</f>
        <v/>
      </c>
      <c r="T192" s="2" t="inlineStr">
        <is>
          <t>to test</t>
        </is>
      </c>
      <c r="U192" s="2" t="inlineStr">
        <is>
          <t>to test</t>
        </is>
      </c>
      <c r="V192" s="2" t="inlineStr">
        <is>
          <t>to test</t>
        </is>
      </c>
      <c r="W192" s="2" t="inlineStr">
        <is>
          <t>— retest assay not yet on file —</t>
        </is>
      </c>
      <c r="X192" s="2" t="inlineStr">
        <is>
          <t>— pending —</t>
        </is>
      </c>
      <c r="Y192" s="2" t="inlineStr">
        <is>
          <t>— pending —</t>
        </is>
      </c>
      <c r="Z192" s="2" t="inlineStr">
        <is>
          <t>#8, #9, #11, #12 from the initial testing</t>
        </is>
      </c>
      <c r="AA192" s="2" t="inlineStr">
        <is>
          <t>P060452|R</t>
        </is>
      </c>
      <c r="AB192" s="8" t="inlineStr">
        <is>
          <t>not yet issuable — no campaign sampling date on file</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post-SOP</t>
        </is>
      </c>
      <c r="H193" s="2" t="inlineStr">
        <is>
          <t>retest — not yet sampled</t>
        </is>
      </c>
      <c r="I193" s="3" t="inlineStr">
        <is>
          <t>GG032601</t>
        </is>
      </c>
      <c r="J193" s="2" t="inlineStr">
        <is>
          <t>P060462</t>
        </is>
      </c>
      <c r="K193" s="2" t="inlineStr">
        <is>
          <t>Gorilla Glue</t>
        </is>
      </c>
      <c r="L193" s="2" t="inlineStr">
        <is>
          <t>Ident A + Ident B + Foreign matter</t>
        </is>
      </c>
      <c r="M193" s="6" t="inlineStr">
        <is>
          <t>—</t>
        </is>
      </c>
      <c r="N193" s="2">
        <f>IFERROR(INDEX('CoQ Register'!$B:$B,MATCH("P060462|R",'CoQ Register'!$S:$S,0)),"—")</f>
        <v/>
      </c>
      <c r="O193" s="6" t="inlineStr">
        <is>
          <t>—</t>
        </is>
      </c>
      <c r="P193" s="2" t="inlineStr">
        <is>
          <t>21.07.2027</t>
        </is>
      </c>
      <c r="Q193" s="2" t="inlineStr">
        <is>
          <t>16.06.2026</t>
        </is>
      </c>
      <c r="R193" s="2" t="inlineStr">
        <is>
          <t>16.07.2026 (the issuance plan's basis: 21.07.2026)</t>
        </is>
      </c>
      <c r="S193" s="5">
        <f>IFERROR(INDEX('CoQ Register'!$D:$D,MATCH("P060462|R",'CoQ Register'!$S:$S,0)),"")</f>
        <v/>
      </c>
      <c r="T193" s="2" t="inlineStr">
        <is>
          <t>to test</t>
        </is>
      </c>
      <c r="U193" s="2" t="inlineStr">
        <is>
          <t>to test</t>
        </is>
      </c>
      <c r="V193" s="2" t="inlineStr">
        <is>
          <t>to test</t>
        </is>
      </c>
      <c r="W193" s="2" t="inlineStr">
        <is>
          <t>— retest assay not yet on file —</t>
        </is>
      </c>
      <c r="X193" s="2" t="inlineStr">
        <is>
          <t>— pending —</t>
        </is>
      </c>
      <c r="Y193" s="2" t="inlineStr">
        <is>
          <t>— pending —</t>
        </is>
      </c>
      <c r="Z193" s="2" t="inlineStr">
        <is>
          <t>#8, #9, #11, #12 from the initial testing</t>
        </is>
      </c>
      <c r="AA193" s="2" t="inlineStr">
        <is>
          <t>P060462|R</t>
        </is>
      </c>
      <c r="AB193" s="8" t="inlineStr">
        <is>
          <t>not yet issuable — no campaign sampling date on file</t>
        </is>
      </c>
    </row>
    <row r="194"/>
    <row r="195" ht="110" customHeight="1">
      <c r="A195"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195:AB195"/>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IF(C2="yes",COUNT(A$1:A1)+1,"")</f>
        <v/>
      </c>
      <c r="B2" s="3">
        <f>IF(A2&lt;&gt;"","CoQ-PP_26-"&amp;TEXT(A2,"000"),"— at issue —")</f>
        <v/>
      </c>
      <c r="C2" s="4" t="inlineStr">
        <is>
          <t>yes</t>
        </is>
      </c>
      <c r="D2" s="5">
        <f>IF(A2="","",MAX(E2,IF(ISNUMBER(I2),I2,0),IFERROR(IF(ISNUMBER(INDEX('iCoA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IF(C3="yes",COUNT(A$1:A2)+1,"")</f>
        <v/>
      </c>
      <c r="B3" s="3">
        <f>IF(A3&lt;&gt;"","CoQ-PP_26-"&amp;TEXT(A3,"000"),"— at issue —")</f>
        <v/>
      </c>
      <c r="C3" s="4" t="inlineStr">
        <is>
          <t>yes</t>
        </is>
      </c>
      <c r="D3" s="5">
        <f>IF(A3="","",MAX(E3,IF(ISNUMBER(I3),I3,0),IFERROR(IF(ISNUMBER(INDEX('iCoA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IF(C4="yes",COUNT(A$1:A3)+1,"")</f>
        <v/>
      </c>
      <c r="B4" s="3">
        <f>IF(A4&lt;&gt;"","CoQ-PP_26-"&amp;TEXT(A4,"000"),"— at issue —")</f>
        <v/>
      </c>
      <c r="C4" s="4" t="inlineStr">
        <is>
          <t>yes</t>
        </is>
      </c>
      <c r="D4" s="5">
        <f>IF(A4="","",MAX(E4,IF(ISNUMBER(I4),I4,0),IFERROR(IF(ISNUMBER(INDEX('iCoA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IF(C5="yes",COUNT(A$1:A4)+1,"")</f>
        <v/>
      </c>
      <c r="B5" s="3">
        <f>IF(A5&lt;&gt;"","CoQ-PP_26-"&amp;TEXT(A5,"000"),"— at issue —")</f>
        <v/>
      </c>
      <c r="C5" s="4" t="inlineStr">
        <is>
          <t>yes</t>
        </is>
      </c>
      <c r="D5" s="5">
        <f>IF(A5="","",MAX(E5,IF(ISNUMBER(I5),I5,0),IFERROR(IF(ISNUMBER(INDEX('iCoA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IF(C6="yes",COUNT(A$1:A5)+1,"")</f>
        <v/>
      </c>
      <c r="B6" s="3">
        <f>IF(A6&lt;&gt;"","CoQ-PP_26-"&amp;TEXT(A6,"000"),"— at issue —")</f>
        <v/>
      </c>
      <c r="C6" s="4" t="inlineStr">
        <is>
          <t>yes</t>
        </is>
      </c>
      <c r="D6" s="5">
        <f>IF(A6="","",MAX(E6,IF(ISNUMBER(I6),I6,0),IFERROR(IF(ISNUMBER(INDEX('iCoA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IF(C7="yes",COUNT(A$1:A6)+1,"")</f>
        <v/>
      </c>
      <c r="B7" s="3">
        <f>IF(A7&lt;&gt;"","CoQ-PP_26-"&amp;TEXT(A7,"000"),"— at issue —")</f>
        <v/>
      </c>
      <c r="C7" s="4" t="inlineStr">
        <is>
          <t>yes</t>
        </is>
      </c>
      <c r="D7" s="5">
        <f>IF(A7="","",MAX(E7,IF(ISNUMBER(I7),I7,0),IFERROR(IF(ISNUMBER(INDEX('iCoA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IF(C8="yes",COUNT(A$1:A7)+1,"")</f>
        <v/>
      </c>
      <c r="B8" s="3">
        <f>IF(A8&lt;&gt;"","CoQ-PP_26-"&amp;TEXT(A8,"000"),"— at issue —")</f>
        <v/>
      </c>
      <c r="C8" s="4" t="inlineStr">
        <is>
          <t>yes</t>
        </is>
      </c>
      <c r="D8" s="5">
        <f>IF(A8="","",MAX(E8,IF(ISNUMBER(I8),I8,0),IFERROR(IF(ISNUMBER(INDEX('iCoA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IF(C9="yes",COUNT(A$1:A8)+1,"")</f>
        <v/>
      </c>
      <c r="B9" s="3">
        <f>IF(A9&lt;&gt;"","CoQ-PP_26-"&amp;TEXT(A9,"000"),"— at issue —")</f>
        <v/>
      </c>
      <c r="C9" s="4" t="inlineStr">
        <is>
          <t>yes</t>
        </is>
      </c>
      <c r="D9" s="5">
        <f>IF(A9="","",MAX(E9,IF(ISNUMBER(I9),I9,0),IFERROR(IF(ISNUMBER(INDEX('iCoA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IF(C10="yes",COUNT(A$1:A9)+1,"")</f>
        <v/>
      </c>
      <c r="B10" s="3">
        <f>IF(A10&lt;&gt;"","CoQ-PP_26-"&amp;TEXT(A10,"000"),"— at issue —")</f>
        <v/>
      </c>
      <c r="C10" s="4" t="inlineStr">
        <is>
          <t>yes</t>
        </is>
      </c>
      <c r="D10" s="5">
        <f>IF(A10="","",MAX(E10,IF(ISNUMBER(I10),I10,0),IFERROR(IF(ISNUMBER(INDEX('iCoA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IF(C11="yes",COUNT(A$1:A10)+1,"")</f>
        <v/>
      </c>
      <c r="B11" s="3">
        <f>IF(A11&lt;&gt;"","CoQ-PP_26-"&amp;TEXT(A11,"000"),"— at issue —")</f>
        <v/>
      </c>
      <c r="C11" s="4" t="inlineStr">
        <is>
          <t>yes</t>
        </is>
      </c>
      <c r="D11" s="5">
        <f>IF(A11="","",MAX(E11,IF(ISNUMBER(I11),I11,0),IFERROR(IF(ISNUMBER(INDEX('iCoA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IF(C12="yes",COUNT(A$1:A11)+1,"")</f>
        <v/>
      </c>
      <c r="B12" s="3">
        <f>IF(A12&lt;&gt;"","CoQ-PP_26-"&amp;TEXT(A12,"000"),"— at issue —")</f>
        <v/>
      </c>
      <c r="C12" s="4" t="inlineStr">
        <is>
          <t>yes</t>
        </is>
      </c>
      <c r="D12" s="5">
        <f>IF(A12="","",MAX(E12,IF(ISNUMBER(I12),I12,0),IFERROR(IF(ISNUMBER(INDEX('iCoA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IF(C13="yes",COUNT(A$1:A12)+1,"")</f>
        <v/>
      </c>
      <c r="B13" s="3">
        <f>IF(A13&lt;&gt;"","CoQ-PP_26-"&amp;TEXT(A13,"000"),"— at issue —")</f>
        <v/>
      </c>
      <c r="C13" s="4" t="inlineStr">
        <is>
          <t>yes</t>
        </is>
      </c>
      <c r="D13" s="5">
        <f>IF(A13="","",MAX(E13,IF(ISNUMBER(I13),I13,0),IFERROR(IF(ISNUMBER(INDEX('iCoA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IF(C14="yes",COUNT(A$1:A13)+1,"")</f>
        <v/>
      </c>
      <c r="B14" s="3">
        <f>IF(A14&lt;&gt;"","CoQ-PP_26-"&amp;TEXT(A14,"000"),"— at issue —")</f>
        <v/>
      </c>
      <c r="C14" s="4" t="inlineStr">
        <is>
          <t>yes</t>
        </is>
      </c>
      <c r="D14" s="5">
        <f>IF(A14="","",MAX(E14,IF(ISNUMBER(I14),I14,0),IFERROR(IF(ISNUMBER(INDEX('iCoA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IF(C15="yes",COUNT(A$1:A14)+1,"")</f>
        <v/>
      </c>
      <c r="B15" s="3">
        <f>IF(A15&lt;&gt;"","CoQ-PP_26-"&amp;TEXT(A15,"000"),"— at issue —")</f>
        <v/>
      </c>
      <c r="C15" s="4" t="inlineStr">
        <is>
          <t>yes</t>
        </is>
      </c>
      <c r="D15" s="5">
        <f>IF(A15="","",MAX(E15,IF(ISNUMBER(I15),I15,0),IFERROR(IF(ISNUMBER(INDEX('iCoA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IF(C16="yes",COUNT(A$1:A15)+1,"")</f>
        <v/>
      </c>
      <c r="B16" s="3">
        <f>IF(A16&lt;&gt;"","CoQ-PP_26-"&amp;TEXT(A16,"000"),"— at issue —")</f>
        <v/>
      </c>
      <c r="C16" s="4" t="inlineStr">
        <is>
          <t>yes</t>
        </is>
      </c>
      <c r="D16" s="5">
        <f>IF(A16="","",MAX(E16,IF(ISNUMBER(I16),I16,0),IFERROR(IF(ISNUMBER(INDEX('iCoA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IF(C17="yes",COUNT(A$1:A16)+1,"")</f>
        <v/>
      </c>
      <c r="B17" s="3">
        <f>IF(A17&lt;&gt;"","CoQ-PP_26-"&amp;TEXT(A17,"000"),"— at issue —")</f>
        <v/>
      </c>
      <c r="C17" s="4" t="inlineStr">
        <is>
          <t>yes</t>
        </is>
      </c>
      <c r="D17" s="5">
        <f>IF(A17="","",MAX(E17,IF(ISNUMBER(I17),I17,0),IFERROR(IF(ISNUMBER(INDEX('iCoA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IF(C18="yes",COUNT(A$1:A17)+1,"")</f>
        <v/>
      </c>
      <c r="B18" s="3">
        <f>IF(A18&lt;&gt;"","CoQ-PP_26-"&amp;TEXT(A18,"000"),"— at issue —")</f>
        <v/>
      </c>
      <c r="C18" s="4" t="inlineStr">
        <is>
          <t>yes</t>
        </is>
      </c>
      <c r="D18" s="5">
        <f>IF(A18="","",MAX(E18,IF(ISNUMBER(I18),I18,0),IFERROR(IF(ISNUMBER(INDEX('iCoA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IF(C19="yes",COUNT(A$1:A18)+1,"")</f>
        <v/>
      </c>
      <c r="B19" s="3">
        <f>IF(A19&lt;&gt;"","CoQ-PP_26-"&amp;TEXT(A19,"000"),"— at issue —")</f>
        <v/>
      </c>
      <c r="C19" s="4" t="inlineStr">
        <is>
          <t>yes</t>
        </is>
      </c>
      <c r="D19" s="5">
        <f>IF(A19="","",MAX(E19,IF(ISNUMBER(I19),I19,0),IFERROR(IF(ISNUMBER(INDEX('iCoA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06.06.2026</t>
        </is>
      </c>
      <c r="U19" s="2" t="inlineStr">
        <is>
          <t>n/a — initial certificate</t>
        </is>
      </c>
      <c r="V19" s="2" t="inlineStr">
        <is>
          <t>—</t>
        </is>
      </c>
      <c r="W19" s="2" t="inlineStr">
        <is>
          <t>—</t>
        </is>
      </c>
      <c r="X19" s="2" t="inlineStr">
        <is>
          <t>—</t>
        </is>
      </c>
      <c r="Y19" s="2" t="inlineStr">
        <is>
          <t>—</t>
        </is>
      </c>
      <c r="Z19" s="2" t="inlineStr">
        <is>
          <t>—</t>
        </is>
      </c>
      <c r="AA19" s="2" t="inlineStr">
        <is>
          <t>—</t>
        </is>
      </c>
      <c r="AB19" s="11" t="inlineStr">
        <is>
          <t>—</t>
        </is>
      </c>
      <c r="AC19" s="8" t="inlineStr">
        <is>
          <t>no Total THC result on this certificate</t>
        </is>
      </c>
    </row>
    <row r="20">
      <c r="A20" s="2">
        <f>IF(C20="yes",COUNT(A$1:A19)+1,"")</f>
        <v/>
      </c>
      <c r="B20" s="3">
        <f>IF(A20&lt;&gt;"","CoQ-PP_26-"&amp;TEXT(A20,"000"),"— at issue —")</f>
        <v/>
      </c>
      <c r="C20" s="4" t="inlineStr">
        <is>
          <t>yes</t>
        </is>
      </c>
      <c r="D20" s="5">
        <f>IF(A20="","",MAX(E20,IF(ISNUMBER(I20),I20,0),IFERROR(IF(ISNUMBER(INDEX('iCoA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IF(C21="yes",COUNT(A$1:A20)+1,"")</f>
        <v/>
      </c>
      <c r="B21" s="3">
        <f>IF(A21&lt;&gt;"","CoQ-PP_26-"&amp;TEXT(A21,"000"),"— at issue —")</f>
        <v/>
      </c>
      <c r="C21" s="4" t="inlineStr">
        <is>
          <t>yes</t>
        </is>
      </c>
      <c r="D21" s="5">
        <f>IF(A21="","",MAX(E21,IF(ISNUMBER(I21),I21,0),IFERROR(IF(ISNUMBER(INDEX('iCoA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IF(C22="yes",COUNT(A$1:A21)+1,"")</f>
        <v/>
      </c>
      <c r="B22" s="3">
        <f>IF(A22&lt;&gt;"","CoQ-PP_26-"&amp;TEXT(A22,"000"),"— at issue —")</f>
        <v/>
      </c>
      <c r="C22" s="4" t="inlineStr">
        <is>
          <t>yes</t>
        </is>
      </c>
      <c r="D22" s="5">
        <f>IF(A22="","",MAX(E22,IF(ISNUMBER(I22),I22,0),IFERROR(IF(ISNUMBER(INDEX('iCoA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IF(C23="yes",COUNT(A$1:A22)+1,"")</f>
        <v/>
      </c>
      <c r="B23" s="3">
        <f>IF(A23&lt;&gt;"","CoQ-PP_26-"&amp;TEXT(A23,"000"),"— at issue —")</f>
        <v/>
      </c>
      <c r="C23" s="4" t="inlineStr">
        <is>
          <t>yes</t>
        </is>
      </c>
      <c r="D23" s="5">
        <f>IF(A23="","",MAX(E23,IF(ISNUMBER(I23),I23,0),IFERROR(IF(ISNUMBER(INDEX('iCoA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IF(C24="yes",COUNT(A$1:A23)+1,"")</f>
        <v/>
      </c>
      <c r="B24" s="3">
        <f>IF(A24&lt;&gt;"","CoQ-PP_26-"&amp;TEXT(A24,"000"),"— at issue —")</f>
        <v/>
      </c>
      <c r="C24" s="4" t="inlineStr">
        <is>
          <t>yes</t>
        </is>
      </c>
      <c r="D24" s="5">
        <f>IF(A24="","",MAX(E24,IF(ISNUMBER(I24),I24,0),IFERROR(IF(ISNUMBER(INDEX('iCoA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IF(C25="yes",COUNT(A$1:A24)+1,"")</f>
        <v/>
      </c>
      <c r="B25" s="3">
        <f>IF(A25&lt;&gt;"","CoQ-PP_26-"&amp;TEXT(A25,"000"),"— at issue —")</f>
        <v/>
      </c>
      <c r="C25" s="4" t="inlineStr">
        <is>
          <t>yes</t>
        </is>
      </c>
      <c r="D25" s="5">
        <f>IF(A25="","",MAX(E25,IF(ISNUMBER(I25),I25,0),IFERROR(IF(ISNUMBER(INDEX('iCoA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IF(C26="yes",COUNT(A$1:A25)+1,"")</f>
        <v/>
      </c>
      <c r="B26" s="3">
        <f>IF(A26&lt;&gt;"","CoQ-PP_26-"&amp;TEXT(A26,"000"),"— at issue —")</f>
        <v/>
      </c>
      <c r="C26" s="4" t="inlineStr">
        <is>
          <t>yes</t>
        </is>
      </c>
      <c r="D26" s="5">
        <f>IF(A26="","",MAX(E26,IF(ISNUMBER(I26),I26,0),IFERROR(IF(ISNUMBER(INDEX('iCoA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IF(C27="yes",COUNT(A$1:A26)+1,"")</f>
        <v/>
      </c>
      <c r="B27" s="3">
        <f>IF(A27&lt;&gt;"","CoQ-PP_26-"&amp;TEXT(A27,"000"),"— at issue —")</f>
        <v/>
      </c>
      <c r="C27" s="4" t="inlineStr">
        <is>
          <t>yes</t>
        </is>
      </c>
      <c r="D27" s="5">
        <f>IF(A27="","",MAX(E27,IF(ISNUMBER(I27),I27,0),IFERROR(IF(ISNUMBER(INDEX('iCoA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IF(C28="yes",COUNT(A$1:A27)+1,"")</f>
        <v/>
      </c>
      <c r="B28" s="3">
        <f>IF(A28&lt;&gt;"","CoQ-PP_26-"&amp;TEXT(A28,"000"),"— at issue —")</f>
        <v/>
      </c>
      <c r="C28" s="4" t="inlineStr">
        <is>
          <t>yes</t>
        </is>
      </c>
      <c r="D28" s="5">
        <f>IF(A28="","",MAX(E28,IF(ISNUMBER(I28),I28,0),IFERROR(IF(ISNUMBER(INDEX('iCoA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IF(C29="yes",COUNT(A$1:A28)+1,"")</f>
        <v/>
      </c>
      <c r="B29" s="3">
        <f>IF(A29&lt;&gt;"","CoQ-PP_26-"&amp;TEXT(A29,"000"),"— at issue —")</f>
        <v/>
      </c>
      <c r="C29" s="4" t="inlineStr">
        <is>
          <t>yes</t>
        </is>
      </c>
      <c r="D29" s="5">
        <f>IF(A29="","",MAX(E29,IF(ISNUMBER(I29),I29,0),IFERROR(IF(ISNUMBER(INDEX('iCoA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IF(C30="yes",COUNT(A$1:A29)+1,"")</f>
        <v/>
      </c>
      <c r="B30" s="3">
        <f>IF(A30&lt;&gt;"","CoQ-PP_26-"&amp;TEXT(A30,"000"),"— at issue —")</f>
        <v/>
      </c>
      <c r="C30" s="4" t="inlineStr">
        <is>
          <t>yes</t>
        </is>
      </c>
      <c r="D30" s="5">
        <f>IF(A30="","",MAX(E30,IF(ISNUMBER(I30),I30,0),IFERROR(IF(ISNUMBER(INDEX('iCoA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IF(C31="yes",COUNT(A$1:A30)+1,"")</f>
        <v/>
      </c>
      <c r="B31" s="3">
        <f>IF(A31&lt;&gt;"","CoQ-PP_26-"&amp;TEXT(A31,"000"),"— at issue —")</f>
        <v/>
      </c>
      <c r="C31" s="4" t="inlineStr">
        <is>
          <t>yes</t>
        </is>
      </c>
      <c r="D31" s="5">
        <f>IF(A31="","",MAX(E31,IF(ISNUMBER(I31),I31,0),IFERROR(IF(ISNUMBER(INDEX('iCoA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IF(C32="yes",COUNT(A$1:A31)+1,"")</f>
        <v/>
      </c>
      <c r="B32" s="3">
        <f>IF(A32&lt;&gt;"","CoQ-PP_26-"&amp;TEXT(A32,"000"),"— at issue —")</f>
        <v/>
      </c>
      <c r="C32" s="4" t="inlineStr">
        <is>
          <t>yes</t>
        </is>
      </c>
      <c r="D32" s="5">
        <f>IF(A32="","",MAX(E32,IF(ISNUMBER(I32),I32,0),IFERROR(IF(ISNUMBER(INDEX('iCoA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IF(C33="yes",COUNT(A$1:A32)+1,"")</f>
        <v/>
      </c>
      <c r="B33" s="3">
        <f>IF(A33&lt;&gt;"","CoQ-PP_26-"&amp;TEXT(A33,"000"),"— at issue —")</f>
        <v/>
      </c>
      <c r="C33" s="4" t="inlineStr">
        <is>
          <t>yes</t>
        </is>
      </c>
      <c r="D33" s="5">
        <f>IF(A33="","",MAX(E33,IF(ISNUMBER(I33),I33,0),IFERROR(IF(ISNUMBER(INDEX('iCoA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IF(C34="yes",COUNT(A$1:A33)+1,"")</f>
        <v/>
      </c>
      <c r="B34" s="3">
        <f>IF(A34&lt;&gt;"","CoQ-PP_26-"&amp;TEXT(A34,"000"),"— at issue —")</f>
        <v/>
      </c>
      <c r="C34" s="4" t="inlineStr">
        <is>
          <t>yes</t>
        </is>
      </c>
      <c r="D34" s="5">
        <f>IF(A34="","",MAX(E34,IF(ISNUMBER(I34),I34,0),IFERROR(IF(ISNUMBER(INDEX('iCoA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IF(C35="yes",COUNT(A$1:A34)+1,"")</f>
        <v/>
      </c>
      <c r="B35" s="3">
        <f>IF(A35&lt;&gt;"","CoQ-PP_26-"&amp;TEXT(A35,"000"),"— at issue —")</f>
        <v/>
      </c>
      <c r="C35" s="4" t="inlineStr">
        <is>
          <t>yes</t>
        </is>
      </c>
      <c r="D35" s="5">
        <f>IF(A35="","",MAX(E35,IF(ISNUMBER(I35),I35,0),IFERROR(IF(ISNUMBER(INDEX('iCoA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IF(C36="yes",COUNT(A$1:A35)+1,"")</f>
        <v/>
      </c>
      <c r="B36" s="3">
        <f>IF(A36&lt;&gt;"","CoQ-PP_26-"&amp;TEXT(A36,"000"),"— at issue —")</f>
        <v/>
      </c>
      <c r="C36" s="4" t="inlineStr">
        <is>
          <t>yes</t>
        </is>
      </c>
      <c r="D36" s="5">
        <f>IF(A36="","",MAX(E36,IF(ISNUMBER(I36),I36,0),IFERROR(IF(ISNUMBER(INDEX('iCoA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IF(C37="yes",COUNT(A$1:A36)+1,"")</f>
        <v/>
      </c>
      <c r="B37" s="3">
        <f>IF(A37&lt;&gt;"","CoQ-PP_26-"&amp;TEXT(A37,"000"),"— at issue —")</f>
        <v/>
      </c>
      <c r="C37" s="4" t="inlineStr">
        <is>
          <t>yes</t>
        </is>
      </c>
      <c r="D37" s="5">
        <f>IF(A37="","",MAX(E37,IF(ISNUMBER(I37),I37,0),IFERROR(IF(ISNUMBER(INDEX('iCoA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IF(C38="yes",COUNT(A$1:A37)+1,"")</f>
        <v/>
      </c>
      <c r="B38" s="3">
        <f>IF(A38&lt;&gt;"","CoQ-PP_26-"&amp;TEXT(A38,"000"),"— at issue —")</f>
        <v/>
      </c>
      <c r="C38" s="4" t="inlineStr">
        <is>
          <t>yes</t>
        </is>
      </c>
      <c r="D38" s="5">
        <f>IF(A38="","",MAX(E38,IF(ISNUMBER(I38),I38,0),IFERROR(IF(ISNUMBER(INDEX('iCoA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IF(C39="yes",COUNT(A$1:A38)+1,"")</f>
        <v/>
      </c>
      <c r="B39" s="3">
        <f>IF(A39&lt;&gt;"","CoQ-PP_26-"&amp;TEXT(A39,"000"),"— at issue —")</f>
        <v/>
      </c>
      <c r="C39" s="4" t="inlineStr">
        <is>
          <t>yes</t>
        </is>
      </c>
      <c r="D39" s="5">
        <f>IF(A39="","",MAX(E39,IF(ISNUMBER(I39),I39,0),IFERROR(IF(ISNUMBER(INDEX('iCoA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IF(C40="yes",COUNT(A$1:A39)+1,"")</f>
        <v/>
      </c>
      <c r="B40" s="3">
        <f>IF(A40&lt;&gt;"","CoQ-PP_26-"&amp;TEXT(A40,"000"),"— at issue —")</f>
        <v/>
      </c>
      <c r="C40" s="4" t="inlineStr">
        <is>
          <t>yes</t>
        </is>
      </c>
      <c r="D40" s="5">
        <f>IF(A40="","",MAX(E40,IF(ISNUMBER(I40),I40,0),IFERROR(IF(ISNUMBER(INDEX('iCoA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IF(C41="yes",COUNT(A$1:A40)+1,"")</f>
        <v/>
      </c>
      <c r="B41" s="3">
        <f>IF(A41&lt;&gt;"","CoQ-PP_26-"&amp;TEXT(A41,"000"),"— at issue —")</f>
        <v/>
      </c>
      <c r="C41" s="4" t="inlineStr">
        <is>
          <t>yes</t>
        </is>
      </c>
      <c r="D41" s="5">
        <f>IF(A41="","",MAX(E41,IF(ISNUMBER(I41),I41,0),IFERROR(IF(ISNUMBER(INDEX('iCoA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IF(C42="yes",COUNT(A$1:A41)+1,"")</f>
        <v/>
      </c>
      <c r="B42" s="3">
        <f>IF(A42&lt;&gt;"","CoQ-PP_26-"&amp;TEXT(A42,"000"),"— at issue —")</f>
        <v/>
      </c>
      <c r="C42" s="4" t="inlineStr">
        <is>
          <t>yes</t>
        </is>
      </c>
      <c r="D42" s="5">
        <f>IF(A42="","",MAX(E42,IF(ISNUMBER(I42),I42,0),IFERROR(IF(ISNUMBER(INDEX('iCoA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IF(C43="yes",COUNT(A$1:A42)+1,"")</f>
        <v/>
      </c>
      <c r="B43" s="3">
        <f>IF(A43&lt;&gt;"","CoQ-PP_26-"&amp;TEXT(A43,"000"),"— at issue —")</f>
        <v/>
      </c>
      <c r="C43" s="4" t="inlineStr">
        <is>
          <t>yes</t>
        </is>
      </c>
      <c r="D43" s="5">
        <f>IF(A43="","",MAX(E43,IF(ISNUMBER(I43),I43,0),IFERROR(IF(ISNUMBER(INDEX('iCoA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IF(C44="yes",COUNT(A$1:A43)+1,"")</f>
        <v/>
      </c>
      <c r="B44" s="3">
        <f>IF(A44&lt;&gt;"","CoQ-PP_26-"&amp;TEXT(A44,"000"),"— at issue —")</f>
        <v/>
      </c>
      <c r="C44" s="4" t="inlineStr">
        <is>
          <t>yes</t>
        </is>
      </c>
      <c r="D44" s="5">
        <f>IF(A44="","",MAX(E44,IF(ISNUMBER(I44),I44,0),IFERROR(IF(ISNUMBER(INDEX('iCoA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IF(C45="yes",COUNT(A$1:A44)+1,"")</f>
        <v/>
      </c>
      <c r="B45" s="3">
        <f>IF(A45&lt;&gt;"","CoQ-PP_26-"&amp;TEXT(A45,"000"),"— at issue —")</f>
        <v/>
      </c>
      <c r="C45" s="4" t="inlineStr">
        <is>
          <t>yes</t>
        </is>
      </c>
      <c r="D45" s="5">
        <f>IF(A45="","",MAX(E45,IF(ISNUMBER(I45),I45,0),IFERROR(IF(ISNUMBER(INDEX('iCoA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IF(C46="yes",COUNT(A$1:A45)+1,"")</f>
        <v/>
      </c>
      <c r="B46" s="3">
        <f>IF(A46&lt;&gt;"","CoQ-PP_26-"&amp;TEXT(A46,"000"),"— at issue —")</f>
        <v/>
      </c>
      <c r="C46" s="4" t="inlineStr">
        <is>
          <t>yes</t>
        </is>
      </c>
      <c r="D46" s="5">
        <f>IF(A46="","",MAX(E46,IF(ISNUMBER(I46),I46,0),IFERROR(IF(ISNUMBER(INDEX('iCoA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IF(C47="yes",COUNT(A$1:A46)+1,"")</f>
        <v/>
      </c>
      <c r="B47" s="3">
        <f>IF(A47&lt;&gt;"","CoQ-PP_26-"&amp;TEXT(A47,"000"),"— at issue —")</f>
        <v/>
      </c>
      <c r="C47" s="4" t="inlineStr">
        <is>
          <t>yes</t>
        </is>
      </c>
      <c r="D47" s="5">
        <f>IF(A47="","",MAX(E47,IF(ISNUMBER(I47),I47,0),IFERROR(IF(ISNUMBER(INDEX('iCoA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IF(C48="yes",COUNT(A$1:A47)+1,"")</f>
        <v/>
      </c>
      <c r="B48" s="3">
        <f>IF(A48&lt;&gt;"","CoQ-PP_26-"&amp;TEXT(A48,"000"),"— at issue —")</f>
        <v/>
      </c>
      <c r="C48" s="4" t="inlineStr">
        <is>
          <t>yes</t>
        </is>
      </c>
      <c r="D48" s="5">
        <f>IF(A48="","",MAX(E48,IF(ISNUMBER(I48),I48,0),IFERROR(IF(ISNUMBER(INDEX('iCoA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IF(C49="yes",COUNT(A$1:A48)+1,"")</f>
        <v/>
      </c>
      <c r="B49" s="3">
        <f>IF(A49&lt;&gt;"","CoQ-PP_26-"&amp;TEXT(A49,"000"),"— at issue —")</f>
        <v/>
      </c>
      <c r="C49" s="4" t="inlineStr">
        <is>
          <t>yes</t>
        </is>
      </c>
      <c r="D49" s="5">
        <f>IF(A49="","",MAX(E49,IF(ISNUMBER(I49),I49,0),IFERROR(IF(ISNUMBER(INDEX('iCoA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IF(C50="yes",COUNT(A$1:A49)+1,"")</f>
        <v/>
      </c>
      <c r="B50" s="3">
        <f>IF(A50&lt;&gt;"","CoQ-PP_26-"&amp;TEXT(A50,"000"),"— at issue —")</f>
        <v/>
      </c>
      <c r="C50" s="4" t="inlineStr">
        <is>
          <t>yes</t>
        </is>
      </c>
      <c r="D50" s="5">
        <f>IF(A50="","",MAX(E50,IF(ISNUMBER(I50),I50,0),IFERROR(IF(ISNUMBER(INDEX('iCoA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IF(C51="yes",COUNT(A$1:A50)+1,"")</f>
        <v/>
      </c>
      <c r="B51" s="3">
        <f>IF(A51&lt;&gt;"","CoQ-PP_26-"&amp;TEXT(A51,"000"),"— at issue —")</f>
        <v/>
      </c>
      <c r="C51" s="4" t="inlineStr">
        <is>
          <t>yes</t>
        </is>
      </c>
      <c r="D51" s="5">
        <f>IF(A51="","",MAX(E51,IF(ISNUMBER(I51),I51,0),IFERROR(IF(ISNUMBER(INDEX('iCoA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IF(C52="yes",COUNT(A$1:A51)+1,"")</f>
        <v/>
      </c>
      <c r="B52" s="3">
        <f>IF(A52&lt;&gt;"","CoQ-PP_26-"&amp;TEXT(A52,"000"),"— at issue —")</f>
        <v/>
      </c>
      <c r="C52" s="4" t="inlineStr">
        <is>
          <t>yes</t>
        </is>
      </c>
      <c r="D52" s="5">
        <f>IF(A52="","",MAX(E52,IF(ISNUMBER(I52),I52,0),IFERROR(IF(ISNUMBER(INDEX('iCoA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IF(C53="yes",COUNT(A$1:A52)+1,"")</f>
        <v/>
      </c>
      <c r="B53" s="3">
        <f>IF(A53&lt;&gt;"","CoQ-PP_26-"&amp;TEXT(A53,"000"),"— at issue —")</f>
        <v/>
      </c>
      <c r="C53" s="4" t="inlineStr">
        <is>
          <t>yes</t>
        </is>
      </c>
      <c r="D53" s="5">
        <f>IF(A53="","",MAX(E53,IF(ISNUMBER(I53),I53,0),IFERROR(IF(ISNUMBER(INDEX('iCoA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IF(C54="yes",COUNT(A$1:A53)+1,"")</f>
        <v/>
      </c>
      <c r="B54" s="3">
        <f>IF(A54&lt;&gt;"","CoQ-PP_26-"&amp;TEXT(A54,"000"),"— at issue —")</f>
        <v/>
      </c>
      <c r="C54" s="4" t="inlineStr">
        <is>
          <t>yes</t>
        </is>
      </c>
      <c r="D54" s="5">
        <f>IF(A54="","",MAX(E54,IF(ISNUMBER(I54),I54,0),IFERROR(IF(ISNUMBER(INDEX('iCoA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IF(C55="yes",COUNT(A$1:A54)+1,"")</f>
        <v/>
      </c>
      <c r="B55" s="3">
        <f>IF(A55&lt;&gt;"","CoQ-PP_26-"&amp;TEXT(A55,"000"),"— at issue —")</f>
        <v/>
      </c>
      <c r="C55" s="4" t="inlineStr">
        <is>
          <t>yes</t>
        </is>
      </c>
      <c r="D55" s="5">
        <f>IF(A55="","",MAX(E55,IF(ISNUMBER(I55),I55,0),IFERROR(IF(ISNUMBER(INDEX('iCoA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IF(C56="yes",COUNT(A$1:A55)+1,"")</f>
        <v/>
      </c>
      <c r="B56" s="3">
        <f>IF(A56&lt;&gt;"","CoQ-PP_26-"&amp;TEXT(A56,"000"),"— at issue —")</f>
        <v/>
      </c>
      <c r="C56" s="4" t="inlineStr">
        <is>
          <t>yes</t>
        </is>
      </c>
      <c r="D56" s="5">
        <f>IF(A56="","",MAX(E56,IF(ISNUMBER(I56),I56,0),IFERROR(IF(ISNUMBER(INDEX('iCoA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IF(C57="yes",COUNT(A$1:A56)+1,"")</f>
        <v/>
      </c>
      <c r="B57" s="3">
        <f>IF(A57&lt;&gt;"","CoQ-PP_26-"&amp;TEXT(A57,"000"),"— at issue —")</f>
        <v/>
      </c>
      <c r="C57" s="4" t="inlineStr">
        <is>
          <t>yes</t>
        </is>
      </c>
      <c r="D57" s="5">
        <f>IF(A57="","",MAX(E57,IF(ISNUMBER(I57),I57,0),IFERROR(IF(ISNUMBER(INDEX('iCoA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IF(C58="yes",COUNT(A$1:A57)+1,"")</f>
        <v/>
      </c>
      <c r="B58" s="3">
        <f>IF(A58&lt;&gt;"","CoQ-PP_26-"&amp;TEXT(A58,"000"),"— at issue —")</f>
        <v/>
      </c>
      <c r="C58" s="4" t="inlineStr">
        <is>
          <t>yes</t>
        </is>
      </c>
      <c r="D58" s="5">
        <f>IF(A58="","",MAX(E58,IF(ISNUMBER(I58),I58,0),IFERROR(IF(ISNUMBER(INDEX('iCoA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IF(C59="yes",COUNT(A$1:A58)+1,"")</f>
        <v/>
      </c>
      <c r="B59" s="3">
        <f>IF(A59&lt;&gt;"","CoQ-PP_26-"&amp;TEXT(A59,"000"),"— at issue —")</f>
        <v/>
      </c>
      <c r="C59" s="4" t="inlineStr">
        <is>
          <t>yes</t>
        </is>
      </c>
      <c r="D59" s="5">
        <f>IF(A59="","",MAX(E59,IF(ISNUMBER(I59),I59,0),IFERROR(IF(ISNUMBER(INDEX('iCoA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IF(C60="yes",COUNT(A$1:A59)+1,"")</f>
        <v/>
      </c>
      <c r="B60" s="3">
        <f>IF(A60&lt;&gt;"","CoQ-PP_26-"&amp;TEXT(A60,"000"),"— at issue —")</f>
        <v/>
      </c>
      <c r="C60" s="4" t="inlineStr">
        <is>
          <t>yes</t>
        </is>
      </c>
      <c r="D60" s="5">
        <f>IF(A60="","",MAX(E60,IF(ISNUMBER(I60),I60,0),IFERROR(IF(ISNUMBER(INDEX('iCoA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IF(C61="yes",COUNT(A$1:A60)+1,"")</f>
        <v/>
      </c>
      <c r="B61" s="3">
        <f>IF(A61&lt;&gt;"","CoQ-PP_26-"&amp;TEXT(A61,"000"),"— at issue —")</f>
        <v/>
      </c>
      <c r="C61" s="4" t="inlineStr">
        <is>
          <t>yes</t>
        </is>
      </c>
      <c r="D61" s="5">
        <f>IF(A61="","",MAX(E61,IF(ISNUMBER(I61),I61,0),IFERROR(IF(ISNUMBER(INDEX('iCoA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IF(C62="yes",COUNT(A$1:A61)+1,"")</f>
        <v/>
      </c>
      <c r="B62" s="3">
        <f>IF(A62&lt;&gt;"","CoQ-PP_26-"&amp;TEXT(A62,"000"),"— at issue —")</f>
        <v/>
      </c>
      <c r="C62" s="4" t="inlineStr">
        <is>
          <t>yes</t>
        </is>
      </c>
      <c r="D62" s="5">
        <f>IF(A62="","",MAX(E62,IF(ISNUMBER(I62),I62,0),IFERROR(IF(ISNUMBER(INDEX('iCoA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IF(C63="yes",COUNT(A$1:A62)+1,"")</f>
        <v/>
      </c>
      <c r="B63" s="3">
        <f>IF(A63&lt;&gt;"","CoQ-PP_26-"&amp;TEXT(A63,"000"),"— at issue —")</f>
        <v/>
      </c>
      <c r="C63" s="4" t="inlineStr">
        <is>
          <t>yes</t>
        </is>
      </c>
      <c r="D63" s="5">
        <f>IF(A63="","",MAX(E63,IF(ISNUMBER(I63),I63,0),IFERROR(IF(ISNUMBER(INDEX('iCoA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IF(C64="yes",COUNT(A$1:A63)+1,"")</f>
        <v/>
      </c>
      <c r="B64" s="3">
        <f>IF(A64&lt;&gt;"","CoQ-PP_26-"&amp;TEXT(A64,"000"),"— at issue —")</f>
        <v/>
      </c>
      <c r="C64" s="4" t="inlineStr">
        <is>
          <t>yes</t>
        </is>
      </c>
      <c r="D64" s="5">
        <f>IF(A64="","",MAX(E64,IF(ISNUMBER(I64),I64,0),IFERROR(IF(ISNUMBER(INDEX('iCoA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IF(C65="yes",COUNT(A$1:A64)+1,"")</f>
        <v/>
      </c>
      <c r="B65" s="3">
        <f>IF(A65&lt;&gt;"","CoQ-PP_26-"&amp;TEXT(A65,"000"),"— at issue —")</f>
        <v/>
      </c>
      <c r="C65" s="4" t="inlineStr">
        <is>
          <t>yes</t>
        </is>
      </c>
      <c r="D65" s="5">
        <f>IF(A65="","",MAX(E65,IF(ISNUMBER(I65),I65,0),IFERROR(IF(ISNUMBER(INDEX('iCoA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IF(C66="yes",COUNT(A$1:A65)+1,"")</f>
        <v/>
      </c>
      <c r="B66" s="3">
        <f>IF(A66&lt;&gt;"","CoQ-PP_26-"&amp;TEXT(A66,"000"),"— at issue —")</f>
        <v/>
      </c>
      <c r="C66" s="4" t="inlineStr">
        <is>
          <t>yes</t>
        </is>
      </c>
      <c r="D66" s="5">
        <f>IF(A66="","",MAX(E66,IF(ISNUMBER(I66),I66,0),IFERROR(IF(ISNUMBER(INDEX('iCoA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IF(C67="yes",COUNT(A$1:A66)+1,"")</f>
        <v/>
      </c>
      <c r="B67" s="3">
        <f>IF(A67&lt;&gt;"","CoQ-PP_26-"&amp;TEXT(A67,"000"),"— at issue —")</f>
        <v/>
      </c>
      <c r="C67" s="4" t="inlineStr">
        <is>
          <t>yes</t>
        </is>
      </c>
      <c r="D67" s="5">
        <f>IF(A67="","",MAX(E67,IF(ISNUMBER(I67),I67,0),IFERROR(IF(ISNUMBER(INDEX('iCoA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IF(C68="yes",COUNT(A$1:A67)+1,"")</f>
        <v/>
      </c>
      <c r="B68" s="3">
        <f>IF(A68&lt;&gt;"","CoQ-PP_26-"&amp;TEXT(A68,"000"),"— at issue —")</f>
        <v/>
      </c>
      <c r="C68" s="4" t="inlineStr">
        <is>
          <t>yes</t>
        </is>
      </c>
      <c r="D68" s="5">
        <f>IF(A68="","",MAX(E68,IF(ISNUMBER(I68),I68,0),IFERROR(IF(ISNUMBER(INDEX('iCoA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IF(C69="yes",COUNT(A$1:A68)+1,"")</f>
        <v/>
      </c>
      <c r="B69" s="3">
        <f>IF(A69&lt;&gt;"","CoQ-PP_26-"&amp;TEXT(A69,"000"),"— at issue —")</f>
        <v/>
      </c>
      <c r="C69" s="4" t="inlineStr">
        <is>
          <t>yes</t>
        </is>
      </c>
      <c r="D69" s="5">
        <f>IF(A69="","",MAX(E69,IF(ISNUMBER(I69),I69,0),IFERROR(IF(ISNUMBER(INDEX('iCoA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IF(C70="yes",COUNT(A$1:A69)+1,"")</f>
        <v/>
      </c>
      <c r="B70" s="3">
        <f>IF(A70&lt;&gt;"","CoQ-PP_26-"&amp;TEXT(A70,"000"),"— at issue —")</f>
        <v/>
      </c>
      <c r="C70" s="4" t="inlineStr">
        <is>
          <t>yes</t>
        </is>
      </c>
      <c r="D70" s="5">
        <f>IF(A70="","",MAX(E70,IF(ISNUMBER(I70),I70,0),IFERROR(IF(ISNUMBER(INDEX('iCoA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IF(C71="yes",COUNT(A$1:A70)+1,"")</f>
        <v/>
      </c>
      <c r="B71" s="3">
        <f>IF(A71&lt;&gt;"","CoQ-PP_26-"&amp;TEXT(A71,"000"),"— at issue —")</f>
        <v/>
      </c>
      <c r="C71" s="4" t="inlineStr">
        <is>
          <t>yes</t>
        </is>
      </c>
      <c r="D71" s="5">
        <f>IF(A71="","",MAX(E71,IF(ISNUMBER(I71),I71,0),IFERROR(IF(ISNUMBER(INDEX('iCoA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IF(C72="yes",COUNT(A$1:A71)+1,"")</f>
        <v/>
      </c>
      <c r="B72" s="3">
        <f>IF(A72&lt;&gt;"","CoQ-PP_26-"&amp;TEXT(A72,"000"),"— at issue —")</f>
        <v/>
      </c>
      <c r="C72" s="4" t="inlineStr">
        <is>
          <t>yes</t>
        </is>
      </c>
      <c r="D72" s="5">
        <f>IF(A72="","",MAX(E72,IF(ISNUMBER(I72),I72,0),IFERROR(IF(ISNUMBER(INDEX('iCoA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IF(C73="yes",COUNT(A$1:A72)+1,"")</f>
        <v/>
      </c>
      <c r="B73" s="3">
        <f>IF(A73&lt;&gt;"","CoQ-PP_26-"&amp;TEXT(A73,"000"),"— at issue —")</f>
        <v/>
      </c>
      <c r="C73" s="4" t="inlineStr">
        <is>
          <t>yes</t>
        </is>
      </c>
      <c r="D73" s="5">
        <f>IF(A73="","",MAX(E73,IF(ISNUMBER(I73),I73,0),IFERROR(IF(ISNUMBER(INDEX('iCoA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IF(C74="yes",COUNT(A$1:A73)+1,"")</f>
        <v/>
      </c>
      <c r="B74" s="3">
        <f>IF(A74&lt;&gt;"","CoQ-PP_26-"&amp;TEXT(A74,"000"),"— at issue —")</f>
        <v/>
      </c>
      <c r="C74" s="4" t="inlineStr">
        <is>
          <t>yes</t>
        </is>
      </c>
      <c r="D74" s="5">
        <f>IF(A74="","",MAX(E74,IF(ISNUMBER(I74),I74,0),IFERROR(IF(ISNUMBER(INDEX('iCoA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IF(C75="yes",COUNT(A$1:A74)+1,"")</f>
        <v/>
      </c>
      <c r="B75" s="3">
        <f>IF(A75&lt;&gt;"","CoQ-PP_26-"&amp;TEXT(A75,"000"),"— at issue —")</f>
        <v/>
      </c>
      <c r="C75" s="4" t="inlineStr">
        <is>
          <t>yes</t>
        </is>
      </c>
      <c r="D75" s="5">
        <f>IF(A75="","",MAX(E75,IF(ISNUMBER(I75),I75,0),IFERROR(IF(ISNUMBER(INDEX('iCoA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IF(C76="yes",COUNT(A$1:A75)+1,"")</f>
        <v/>
      </c>
      <c r="B76" s="3">
        <f>IF(A76&lt;&gt;"","CoQ-PP_26-"&amp;TEXT(A76,"000"),"— at issue —")</f>
        <v/>
      </c>
      <c r="C76" s="4" t="inlineStr">
        <is>
          <t>yes</t>
        </is>
      </c>
      <c r="D76" s="5">
        <f>IF(A76="","",MAX(E76,IF(ISNUMBER(I76),I76,0),IFERROR(IF(ISNUMBER(INDEX('iCoA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IF(C77="yes",COUNT(A$1:A76)+1,"")</f>
        <v/>
      </c>
      <c r="B77" s="3">
        <f>IF(A77&lt;&gt;"","CoQ-PP_26-"&amp;TEXT(A77,"000"),"— at issue —")</f>
        <v/>
      </c>
      <c r="C77" s="4" t="inlineStr">
        <is>
          <t>yes</t>
        </is>
      </c>
      <c r="D77" s="5">
        <f>IF(A77="","",MAX(E77,IF(ISNUMBER(I77),I77,0),IFERROR(IF(ISNUMBER(INDEX('iCoA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IF(C78="yes",COUNT(A$1:A77)+1,"")</f>
        <v/>
      </c>
      <c r="B78" s="3">
        <f>IF(A78&lt;&gt;"","CoQ-PP_26-"&amp;TEXT(A78,"000"),"— at issue —")</f>
        <v/>
      </c>
      <c r="C78" s="4" t="inlineStr">
        <is>
          <t>yes</t>
        </is>
      </c>
      <c r="D78" s="5">
        <f>IF(A78="","",MAX(E78,IF(ISNUMBER(I78),I78,0),IFERROR(IF(ISNUMBER(INDEX('iCoA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IF(C79="yes",COUNT(A$1:A78)+1,"")</f>
        <v/>
      </c>
      <c r="B79" s="3">
        <f>IF(A79&lt;&gt;"","CoQ-PP_26-"&amp;TEXT(A79,"000"),"— at issue —")</f>
        <v/>
      </c>
      <c r="C79" s="4" t="inlineStr">
        <is>
          <t>yes</t>
        </is>
      </c>
      <c r="D79" s="5">
        <f>IF(A79="","",MAX(E79,IF(ISNUMBER(I79),I79,0),IFERROR(IF(ISNUMBER(INDEX('iCoA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IF(C80="yes",COUNT(A$1:A79)+1,"")</f>
        <v/>
      </c>
      <c r="B80" s="3">
        <f>IF(A80&lt;&gt;"","CoQ-PP_26-"&amp;TEXT(A80,"000"),"— at issue —")</f>
        <v/>
      </c>
      <c r="C80" s="4" t="inlineStr">
        <is>
          <t>yes</t>
        </is>
      </c>
      <c r="D80" s="5">
        <f>IF(A80="","",MAX(E80,IF(ISNUMBER(I80),I80,0),IFERROR(IF(ISNUMBER(INDEX('iCoA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IF(C81="yes",COUNT(A$1:A80)+1,"")</f>
        <v/>
      </c>
      <c r="B81" s="3">
        <f>IF(A81&lt;&gt;"","CoQ-PP_26-"&amp;TEXT(A81,"000"),"— at issue —")</f>
        <v/>
      </c>
      <c r="C81" s="4" t="inlineStr">
        <is>
          <t>yes</t>
        </is>
      </c>
      <c r="D81" s="5">
        <f>IF(A81="","",MAX(E81,IF(ISNUMBER(I81),I81,0),IFERROR(IF(ISNUMBER(INDEX('iCoA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IF(C82="yes",COUNT(A$1:A81)+1,"")</f>
        <v/>
      </c>
      <c r="B82" s="3">
        <f>IF(A82&lt;&gt;"","CoQ-PP_26-"&amp;TEXT(A82,"000"),"— at issue —")</f>
        <v/>
      </c>
      <c r="C82" s="4" t="inlineStr">
        <is>
          <t>yes</t>
        </is>
      </c>
      <c r="D82" s="5">
        <f>IF(A82="","",MAX(E82,IF(ISNUMBER(I82),I82,0),IFERROR(IF(ISNUMBER(INDEX('iCoA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IF(C83="yes",COUNT(A$1:A82)+1,"")</f>
        <v/>
      </c>
      <c r="B83" s="3">
        <f>IF(A83&lt;&gt;"","CoQ-PP_26-"&amp;TEXT(A83,"000"),"— at issue —")</f>
        <v/>
      </c>
      <c r="C83" s="4" t="inlineStr">
        <is>
          <t>yes</t>
        </is>
      </c>
      <c r="D83" s="5">
        <f>IF(A83="","",MAX(E83,IF(ISNUMBER(I83),I83,0),IFERROR(IF(ISNUMBER(INDEX('iCoA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IF(C84="yes",COUNT(A$1:A83)+1,"")</f>
        <v/>
      </c>
      <c r="B84" s="3">
        <f>IF(A84&lt;&gt;"","CoQ-PP_26-"&amp;TEXT(A84,"000"),"— at issue —")</f>
        <v/>
      </c>
      <c r="C84" s="4" t="inlineStr">
        <is>
          <t>yes</t>
        </is>
      </c>
      <c r="D84" s="5">
        <f>IF(A84="","",MAX(E84,IF(ISNUMBER(I84),I84,0),IFERROR(IF(ISNUMBER(INDEX('iCoA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iCoA-PP_26-100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IF(C85="yes",COUNT(A$1:A84)+1,"")</f>
        <v/>
      </c>
      <c r="B85" s="3">
        <f>IF(A85&lt;&gt;"","CoQ-PP_26-"&amp;TEXT(A85,"000"),"— at issue —")</f>
        <v/>
      </c>
      <c r="C85" s="4" t="inlineStr">
        <is>
          <t>yes</t>
        </is>
      </c>
      <c r="D85" s="5">
        <f>IF(A85="","",MAX(E85,IF(ISNUMBER(I85),I85,0),IFERROR(IF(ISNUMBER(INDEX('iCoA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iCoA-PP_26-101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IF(C86="yes",COUNT(A$1:A85)+1,"")</f>
        <v/>
      </c>
      <c r="B86" s="3">
        <f>IF(A86&lt;&gt;"","CoQ-PP_26-"&amp;TEXT(A86,"000"),"— at issue —")</f>
        <v/>
      </c>
      <c r="C86" s="4" t="inlineStr">
        <is>
          <t>yes</t>
        </is>
      </c>
      <c r="D86" s="5">
        <f>IF(A86="","",MAX(E86,IF(ISNUMBER(I86),I86,0),IFERROR(IF(ISNUMBER(INDEX('iCoA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iCoA-PP_26-105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IF(C87="yes",COUNT(A$1:A86)+1,"")</f>
        <v/>
      </c>
      <c r="B87" s="3">
        <f>IF(A87&lt;&gt;"","CoQ-PP_26-"&amp;TEXT(A87,"000"),"— at issue —")</f>
        <v/>
      </c>
      <c r="C87" s="4" t="inlineStr">
        <is>
          <t>yes</t>
        </is>
      </c>
      <c r="D87" s="5">
        <f>IF(A87="","",MAX(E87,IF(ISNUMBER(I87),I87,0),IFERROR(IF(ISNUMBER(INDEX('iCoA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iCoA-PP_26-102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IF(C88="yes",COUNT(A$1:A87)+1,"")</f>
        <v/>
      </c>
      <c r="B88" s="3">
        <f>IF(A88&lt;&gt;"","CoQ-PP_26-"&amp;TEXT(A88,"000"),"— at issue —")</f>
        <v/>
      </c>
      <c r="C88" s="4" t="inlineStr">
        <is>
          <t>yes</t>
        </is>
      </c>
      <c r="D88" s="5">
        <f>IF(A88="","",MAX(E88,IF(ISNUMBER(I88),I88,0),IFERROR(IF(ISNUMBER(INDEX('iCoA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iCoA-PP_26-103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IF(C89="yes",COUNT(A$1:A88)+1,"")</f>
        <v/>
      </c>
      <c r="B89" s="3">
        <f>IF(A89&lt;&gt;"","CoQ-PP_26-"&amp;TEXT(A89,"000"),"— at issue —")</f>
        <v/>
      </c>
      <c r="C89" s="4" t="inlineStr">
        <is>
          <t>yes</t>
        </is>
      </c>
      <c r="D89" s="5">
        <f>IF(A89="","",MAX(E89,IF(ISNUMBER(I89),I89,0),IFERROR(IF(ISNUMBER(INDEX('iCoA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iCoA-PP_26-104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IF(C90="yes",COUNT(A$1:A89)+1,"")</f>
        <v/>
      </c>
      <c r="B90" s="3">
        <f>IF(A90&lt;&gt;"","CoQ-PP_26-"&amp;TEXT(A90,"000"),"— at issue —")</f>
        <v/>
      </c>
      <c r="C90" s="4" t="inlineStr">
        <is>
          <t>yes</t>
        </is>
      </c>
      <c r="D90" s="5">
        <f>IF(A90="","",MAX(E90,IF(ISNUMBER(I90),I90,0),IFERROR(IF(ISNUMBER(INDEX('iCoA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iCoA-PP_26-109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IF(C91="yes",COUNT(A$1:A90)+1,"")</f>
        <v/>
      </c>
      <c r="B91" s="3">
        <f>IF(A91&lt;&gt;"","CoQ-PP_26-"&amp;TEXT(A91,"000"),"— at issue —")</f>
        <v/>
      </c>
      <c r="C91" s="4" t="inlineStr">
        <is>
          <t>yes</t>
        </is>
      </c>
      <c r="D91" s="5">
        <f>IF(A91="","",MAX(E91,IF(ISNUMBER(I91),I91,0),IFERROR(IF(ISNUMBER(INDEX('iCoA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iCoA-PP_26-110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IF(C92="yes",COUNT(A$1:A91)+1,"")</f>
        <v/>
      </c>
      <c r="B92" s="3">
        <f>IF(A92&lt;&gt;"","CoQ-PP_26-"&amp;TEXT(A92,"000"),"— at issue —")</f>
        <v/>
      </c>
      <c r="C92" s="4" t="inlineStr">
        <is>
          <t>yes</t>
        </is>
      </c>
      <c r="D92" s="5">
        <f>IF(A92="","",MAX(E92,IF(ISNUMBER(I92),I92,0),IFERROR(IF(ISNUMBER(INDEX('iCoA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iCoA-PP_26-106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IF(C93="yes",COUNT(A$1:A92)+1,"")</f>
        <v/>
      </c>
      <c r="B93" s="3">
        <f>IF(A93&lt;&gt;"","CoQ-PP_26-"&amp;TEXT(A93,"000"),"— at issue —")</f>
        <v/>
      </c>
      <c r="C93" s="4" t="inlineStr">
        <is>
          <t>yes</t>
        </is>
      </c>
      <c r="D93" s="5">
        <f>IF(A93="","",MAX(E93,IF(ISNUMBER(I93),I93,0),IFERROR(IF(ISNUMBER(INDEX('iCoA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iCoA-PP_26-107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IF(C94="yes",COUNT(A$1:A93)+1,"")</f>
        <v/>
      </c>
      <c r="B94" s="3">
        <f>IF(A94&lt;&gt;"","CoQ-PP_26-"&amp;TEXT(A94,"000"),"— at issue —")</f>
        <v/>
      </c>
      <c r="C94" s="4" t="inlineStr">
        <is>
          <t>yes</t>
        </is>
      </c>
      <c r="D94" s="5">
        <f>IF(A94="","",MAX(E94,IF(ISNUMBER(I94),I94,0),IFERROR(IF(ISNUMBER(INDEX('iCoA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IF(C95="yes",COUNT(A$1:A94)+1,"")</f>
        <v/>
      </c>
      <c r="B95" s="3">
        <f>IF(A95&lt;&gt;"","CoQ-PP_26-"&amp;TEXT(A95,"000"),"— at issue —")</f>
        <v/>
      </c>
      <c r="C95" s="4" t="inlineStr">
        <is>
          <t>yes</t>
        </is>
      </c>
      <c r="D95" s="5">
        <f>IF(A95="","",MAX(E95,IF(ISNUMBER(I95),I95,0),IFERROR(IF(ISNUMBER(INDEX('iCoA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iCoA-PP_26-111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IF(C96="yes",COUNT(A$1:A95)+1,"")</f>
        <v/>
      </c>
      <c r="B96" s="3">
        <f>IF(A96&lt;&gt;"","CoQ-PP_26-"&amp;TEXT(A96,"000"),"— at issue —")</f>
        <v/>
      </c>
      <c r="C96" s="4" t="inlineStr">
        <is>
          <t>yes</t>
        </is>
      </c>
      <c r="D96" s="5">
        <f>IF(A96="","",MAX(E96,IF(ISNUMBER(I96),I96,0),IFERROR(IF(ISNUMBER(INDEX('iCoA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iCoA-PP_26-112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IF(C97="yes",COUNT(A$1:A96)+1,"")</f>
        <v/>
      </c>
      <c r="B97" s="3">
        <f>IF(A97&lt;&gt;"","CoQ-PP_26-"&amp;TEXT(A97,"000"),"— at issue —")</f>
        <v/>
      </c>
      <c r="C97" s="4" t="inlineStr">
        <is>
          <t>yes</t>
        </is>
      </c>
      <c r="D97" s="5">
        <f>IF(A97="","",MAX(E97,IF(ISNUMBER(I97),I97,0),IFERROR(IF(ISNUMBER(INDEX('iCoA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iCoA-PP_26-113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IF(C98="yes",COUNT(A$1:A97)+1,"")</f>
        <v/>
      </c>
      <c r="B98" s="3">
        <f>IF(A98&lt;&gt;"","CoQ-PP_26-"&amp;TEXT(A98,"000"),"— at issue —")</f>
        <v/>
      </c>
      <c r="C98" s="4" t="inlineStr">
        <is>
          <t>yes</t>
        </is>
      </c>
      <c r="D98" s="5">
        <f>IF(A98="","",MAX(E98,IF(ISNUMBER(I98),I98,0),IFERROR(IF(ISNUMBER(INDEX('iCoA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iCoA-PP_26-114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IF(C99="yes",COUNT(A$1:A98)+1,"")</f>
        <v/>
      </c>
      <c r="B99" s="3">
        <f>IF(A99&lt;&gt;"","CoQ-PP_26-"&amp;TEXT(A99,"000"),"— at issue —")</f>
        <v/>
      </c>
      <c r="C99" s="4" t="inlineStr">
        <is>
          <t>yes</t>
        </is>
      </c>
      <c r="D99" s="5">
        <f>IF(A99="","",MAX(E99,IF(ISNUMBER(I99),I99,0),IFERROR(IF(ISNUMBER(INDEX('iCoA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iCoA-PP_26-115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IF(C100="yes",COUNT(A$1:A99)+1,"")</f>
        <v/>
      </c>
      <c r="B100" s="3">
        <f>IF(A100&lt;&gt;"","CoQ-PP_26-"&amp;TEXT(A100,"000"),"— at issue —")</f>
        <v/>
      </c>
      <c r="C100" s="4" t="inlineStr">
        <is>
          <t>yes</t>
        </is>
      </c>
      <c r="D100" s="5">
        <f>IF(A100="","",MAX(E100,IF(ISNUMBER(I100),I100,0),IFERROR(IF(ISNUMBER(INDEX('iCoA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iCoA-PP_26-116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IF(C101="yes",COUNT(A$1:A100)+1,"")</f>
        <v/>
      </c>
      <c r="B101" s="3">
        <f>IF(A101&lt;&gt;"","CoQ-PP_26-"&amp;TEXT(A101,"000"),"— at issue —")</f>
        <v/>
      </c>
      <c r="C101" s="4" t="inlineStr">
        <is>
          <t>yes</t>
        </is>
      </c>
      <c r="D101" s="5">
        <f>IF(A101="","",MAX(E101,IF(ISNUMBER(I101),I101,0),IFERROR(IF(ISNUMBER(INDEX('iCoA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iCoA-PP_26-117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IF(C102="yes",COUNT(A$1:A101)+1,"")</f>
        <v/>
      </c>
      <c r="B102" s="3">
        <f>IF(A102&lt;&gt;"","CoQ-PP_26-"&amp;TEXT(A102,"000"),"— at issue —")</f>
        <v/>
      </c>
      <c r="C102" s="4" t="inlineStr">
        <is>
          <t>yes</t>
        </is>
      </c>
      <c r="D102" s="5">
        <f>IF(A102="","",MAX(E102,IF(ISNUMBER(I102),I102,0),IFERROR(IF(ISNUMBER(INDEX('iCoA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iCoA-PP_26-118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IF(C103="yes",COUNT(A$1:A102)+1,"")</f>
        <v/>
      </c>
      <c r="B103" s="3">
        <f>IF(A103&lt;&gt;"","CoQ-PP_26-"&amp;TEXT(A103,"000"),"— at issue —")</f>
        <v/>
      </c>
      <c r="C103" s="4" t="inlineStr">
        <is>
          <t>yes</t>
        </is>
      </c>
      <c r="D103" s="5">
        <f>IF(A103="","",MAX(E103,IF(ISNUMBER(I103),I103,0),IFERROR(IF(ISNUMBER(INDEX('iCoA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iCoA-PP_26-120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IF(C104="yes",COUNT(A$1:A103)+1,"")</f>
        <v/>
      </c>
      <c r="B104" s="3">
        <f>IF(A104&lt;&gt;"","CoQ-PP_26-"&amp;TEXT(A104,"000"),"— at issue —")</f>
        <v/>
      </c>
      <c r="C104" s="4" t="inlineStr">
        <is>
          <t>yes</t>
        </is>
      </c>
      <c r="D104" s="5">
        <f>IF(A104="","",MAX(E104,IF(ISNUMBER(I104),I104,0),IFERROR(IF(ISNUMBER(INDEX('iCoA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iCoA-PP_26-119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IF(C105="yes",COUNT(A$1:A104)+1,"")</f>
        <v/>
      </c>
      <c r="B105" s="3">
        <f>IF(A105&lt;&gt;"","CoQ-PP_26-"&amp;TEXT(A105,"000"),"— at issue —")</f>
        <v/>
      </c>
      <c r="C105" s="4" t="inlineStr">
        <is>
          <t>yes</t>
        </is>
      </c>
      <c r="D105" s="5">
        <f>IF(A105="","",MAX(E105,IF(ISNUMBER(I105),I105,0),IFERROR(IF(ISNUMBER(INDEX('iCoA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iCoA-PP_26-123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IF(C106="yes",COUNT(A$1:A105)+1,"")</f>
        <v/>
      </c>
      <c r="B106" s="3">
        <f>IF(A106&lt;&gt;"","CoQ-PP_26-"&amp;TEXT(A106,"000"),"— at issue —")</f>
        <v/>
      </c>
      <c r="C106" s="4" t="inlineStr">
        <is>
          <t>yes</t>
        </is>
      </c>
      <c r="D106" s="5">
        <f>IF(A106="","",MAX(E106,IF(ISNUMBER(I106),I106,0),IFERROR(IF(ISNUMBER(INDEX('iCoA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iCoA-PP_26-124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IF(C107="yes",COUNT(A$1:A106)+1,"")</f>
        <v/>
      </c>
      <c r="B107" s="3">
        <f>IF(A107&lt;&gt;"","CoQ-PP_26-"&amp;TEXT(A107,"000"),"— at issue —")</f>
        <v/>
      </c>
      <c r="C107" s="4" t="inlineStr">
        <is>
          <t>yes</t>
        </is>
      </c>
      <c r="D107" s="5">
        <f>IF(A107="","",MAX(E107,IF(ISNUMBER(I107),I107,0),IFERROR(IF(ISNUMBER(INDEX('iCoA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iCoA-PP_26-145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IF(C108="yes",COUNT(A$1:A107)+1,"")</f>
        <v/>
      </c>
      <c r="B108" s="3">
        <f>IF(A108&lt;&gt;"","CoQ-PP_26-"&amp;TEXT(A108,"000"),"— at issue —")</f>
        <v/>
      </c>
      <c r="C108" s="4" t="inlineStr">
        <is>
          <t>yes</t>
        </is>
      </c>
      <c r="D108" s="5">
        <f>IF(A108="","",MAX(E108,IF(ISNUMBER(I108),I108,0),IFERROR(IF(ISNUMBER(INDEX('iCoA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iCoA-PP_26-125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IF(C109="yes",COUNT(A$1:A108)+1,"")</f>
        <v/>
      </c>
      <c r="B109" s="3">
        <f>IF(A109&lt;&gt;"","CoQ-PP_26-"&amp;TEXT(A109,"000"),"— at issue —")</f>
        <v/>
      </c>
      <c r="C109" s="4" t="inlineStr">
        <is>
          <t>yes</t>
        </is>
      </c>
      <c r="D109" s="5">
        <f>IF(A109="","",MAX(E109,IF(ISNUMBER(I109),I109,0),IFERROR(IF(ISNUMBER(INDEX('iCoA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iCoA-PP_26-126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IF(C110="yes",COUNT(A$1:A109)+1,"")</f>
        <v/>
      </c>
      <c r="B110" s="3">
        <f>IF(A110&lt;&gt;"","CoQ-PP_26-"&amp;TEXT(A110,"000"),"— at issue —")</f>
        <v/>
      </c>
      <c r="C110" s="4" t="inlineStr">
        <is>
          <t>yes</t>
        </is>
      </c>
      <c r="D110" s="5">
        <f>IF(A110="","",MAX(E110,IF(ISNUMBER(I110),I110,0),IFERROR(IF(ISNUMBER(INDEX('iCoA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iCoA-PP_26-127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IF(C111="yes",COUNT(A$1:A110)+1,"")</f>
        <v/>
      </c>
      <c r="B111" s="3">
        <f>IF(A111&lt;&gt;"","CoQ-PP_26-"&amp;TEXT(A111,"000"),"— at issue —")</f>
        <v/>
      </c>
      <c r="C111" s="4" t="inlineStr">
        <is>
          <t>yes</t>
        </is>
      </c>
      <c r="D111" s="5">
        <f>IF(A111="","",MAX(E111,IF(ISNUMBER(I111),I111,0),IFERROR(IF(ISNUMBER(INDEX('iCoA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iCoA-PP_26-128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IF(C112="yes",COUNT(A$1:A111)+1,"")</f>
        <v/>
      </c>
      <c r="B112" s="3">
        <f>IF(A112&lt;&gt;"","CoQ-PP_26-"&amp;TEXT(A112,"000"),"— at issue —")</f>
        <v/>
      </c>
      <c r="C112" s="4" t="inlineStr">
        <is>
          <t>yes</t>
        </is>
      </c>
      <c r="D112" s="5">
        <f>IF(A112="","",MAX(E112,IF(ISNUMBER(I112),I112,0),IFERROR(IF(ISNUMBER(INDEX('iCoA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iCoA-PP_26-129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IF(C113="yes",COUNT(A$1:A112)+1,"")</f>
        <v/>
      </c>
      <c r="B113" s="3">
        <f>IF(A113&lt;&gt;"","CoQ-PP_26-"&amp;TEXT(A113,"000"),"— at issue —")</f>
        <v/>
      </c>
      <c r="C113" s="4" t="inlineStr">
        <is>
          <t>yes</t>
        </is>
      </c>
      <c r="D113" s="5">
        <f>IF(A113="","",MAX(E113,IF(ISNUMBER(I113),I113,0),IFERROR(IF(ISNUMBER(INDEX('iCoA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iCoA-PP_26-130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IF(C114="yes",COUNT(A$1:A113)+1,"")</f>
        <v/>
      </c>
      <c r="B114" s="3">
        <f>IF(A114&lt;&gt;"","CoQ-PP_26-"&amp;TEXT(A114,"000"),"— at issue —")</f>
        <v/>
      </c>
      <c r="C114" s="4" t="inlineStr">
        <is>
          <t>yes</t>
        </is>
      </c>
      <c r="D114" s="5">
        <f>IF(A114="","",MAX(E114,IF(ISNUMBER(I114),I114,0),IFERROR(IF(ISNUMBER(INDEX('iCoA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iCoA-PP_26-131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IF(C115="yes",COUNT(A$1:A114)+1,"")</f>
        <v/>
      </c>
      <c r="B115" s="3">
        <f>IF(A115&lt;&gt;"","CoQ-PP_26-"&amp;TEXT(A115,"000"),"— at issue —")</f>
        <v/>
      </c>
      <c r="C115" s="4" t="inlineStr">
        <is>
          <t>yes</t>
        </is>
      </c>
      <c r="D115" s="5">
        <f>IF(A115="","",MAX(E115,IF(ISNUMBER(I115),I115,0),IFERROR(IF(ISNUMBER(INDEX('iCoA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iCoA-PP_26-132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IF(C116="yes",COUNT(A$1:A115)+1,"")</f>
        <v/>
      </c>
      <c r="B116" s="3">
        <f>IF(A116&lt;&gt;"","CoQ-PP_26-"&amp;TEXT(A116,"000"),"— at issue —")</f>
        <v/>
      </c>
      <c r="C116" s="4" t="inlineStr">
        <is>
          <t>yes</t>
        </is>
      </c>
      <c r="D116" s="5">
        <f>IF(A116="","",MAX(E116,IF(ISNUMBER(I116),I116,0),IFERROR(IF(ISNUMBER(INDEX('iCoA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IF(C117="yes",COUNT(A$1:A116)+1,"")</f>
        <v/>
      </c>
      <c r="B117" s="3">
        <f>IF(A117&lt;&gt;"","CoQ-PP_26-"&amp;TEXT(A117,"000"),"— at issue —")</f>
        <v/>
      </c>
      <c r="C117" s="4" t="inlineStr">
        <is>
          <t>yes</t>
        </is>
      </c>
      <c r="D117" s="5">
        <f>IF(A117="","",MAX(E117,IF(ISNUMBER(I117),I117,0),IFERROR(IF(ISNUMBER(INDEX('iCoA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iCoA-PP_26-134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IF(C118="yes",COUNT(A$1:A117)+1,"")</f>
        <v/>
      </c>
      <c r="B118" s="3">
        <f>IF(A118&lt;&gt;"","CoQ-PP_26-"&amp;TEXT(A118,"000"),"— at issue —")</f>
        <v/>
      </c>
      <c r="C118" s="4" t="inlineStr">
        <is>
          <t>yes</t>
        </is>
      </c>
      <c r="D118" s="5">
        <f>IF(A118="","",MAX(E118,IF(ISNUMBER(I118),I118,0),IFERROR(IF(ISNUMBER(INDEX('iCoA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iCoA-PP_26-135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IF(C119="yes",COUNT(A$1:A118)+1,"")</f>
        <v/>
      </c>
      <c r="B119" s="3">
        <f>IF(A119&lt;&gt;"","CoQ-PP_26-"&amp;TEXT(A119,"000"),"— at issue —")</f>
        <v/>
      </c>
      <c r="C119" s="4" t="inlineStr">
        <is>
          <t>yes</t>
        </is>
      </c>
      <c r="D119" s="5">
        <f>IF(A119="","",MAX(E119,IF(ISNUMBER(I119),I119,0),IFERROR(IF(ISNUMBER(INDEX('iCoA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iCoA-PP_26-136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IF(C120="yes",COUNT(A$1:A119)+1,"")</f>
        <v/>
      </c>
      <c r="B120" s="3">
        <f>IF(A120&lt;&gt;"","CoQ-PP_26-"&amp;TEXT(A120,"000"),"— at issue —")</f>
        <v/>
      </c>
      <c r="C120" s="4" t="inlineStr">
        <is>
          <t>yes</t>
        </is>
      </c>
      <c r="D120" s="5">
        <f>IF(A120="","",MAX(E120,IF(ISNUMBER(I120),I120,0),IFERROR(IF(ISNUMBER(INDEX('iCoA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iCoA-PP_26-137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IF(C121="yes",COUNT(A$1:A120)+1,"")</f>
        <v/>
      </c>
      <c r="B121" s="3">
        <f>IF(A121&lt;&gt;"","CoQ-PP_26-"&amp;TEXT(A121,"000"),"— at issue —")</f>
        <v/>
      </c>
      <c r="C121" s="4" t="inlineStr">
        <is>
          <t>yes</t>
        </is>
      </c>
      <c r="D121" s="5">
        <f>IF(A121="","",MAX(E121,IF(ISNUMBER(I121),I121,0),IFERROR(IF(ISNUMBER(INDEX('iCoA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iCoA-PP_26-140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IF(C122="yes",COUNT(A$1:A121)+1,"")</f>
        <v/>
      </c>
      <c r="B122" s="3">
        <f>IF(A122&lt;&gt;"","CoQ-PP_26-"&amp;TEXT(A122,"000"),"— at issue —")</f>
        <v/>
      </c>
      <c r="C122" s="4" t="inlineStr">
        <is>
          <t>yes</t>
        </is>
      </c>
      <c r="D122" s="5">
        <f>IF(A122="","",MAX(E122,IF(ISNUMBER(I122),I122,0),IFERROR(IF(ISNUMBER(INDEX('iCoA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iCoA-PP_26-138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IF(C123="yes",COUNT(A$1:A122)+1,"")</f>
        <v/>
      </c>
      <c r="B123" s="3">
        <f>IF(A123&lt;&gt;"","CoQ-PP_26-"&amp;TEXT(A123,"000"),"— at issue —")</f>
        <v/>
      </c>
      <c r="C123" s="4" t="inlineStr">
        <is>
          <t>yes</t>
        </is>
      </c>
      <c r="D123" s="5">
        <f>IF(A123="","",MAX(E123,IF(ISNUMBER(I123),I123,0),IFERROR(IF(ISNUMBER(INDEX('iCoA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iCoA-PP_26-139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IF(C124="yes",COUNT(A$1:A123)+1,"")</f>
        <v/>
      </c>
      <c r="B124" s="3">
        <f>IF(A124&lt;&gt;"","CoQ-PP_26-"&amp;TEXT(A124,"000"),"— at issue —")</f>
        <v/>
      </c>
      <c r="C124" s="4" t="inlineStr">
        <is>
          <t>yes</t>
        </is>
      </c>
      <c r="D124" s="5">
        <f>IF(A124="","",MAX(E124,IF(ISNUMBER(I124),I124,0),IFERROR(IF(ISNUMBER(INDEX('iCoA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iCoA-PP_26-148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IF(C125="yes",COUNT(A$1:A124)+1,"")</f>
        <v/>
      </c>
      <c r="B125" s="3">
        <f>IF(A125&lt;&gt;"","CoQ-PP_26-"&amp;TEXT(A125,"000"),"— at issue —")</f>
        <v/>
      </c>
      <c r="C125" s="4" t="inlineStr">
        <is>
          <t>yes</t>
        </is>
      </c>
      <c r="D125" s="5">
        <f>IF(A125="","",MAX(E125,IF(ISNUMBER(I125),I125,0),IFERROR(IF(ISNUMBER(INDEX('iCoA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iCoA-PP_26-141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IF(C126="yes",COUNT(A$1:A125)+1,"")</f>
        <v/>
      </c>
      <c r="B126" s="3">
        <f>IF(A126&lt;&gt;"","CoQ-PP_26-"&amp;TEXT(A126,"000"),"— at issue —")</f>
        <v/>
      </c>
      <c r="C126" s="4" t="inlineStr">
        <is>
          <t>yes</t>
        </is>
      </c>
      <c r="D126" s="5">
        <f>IF(A126="","",MAX(E126,IF(ISNUMBER(I126),I126,0),IFERROR(IF(ISNUMBER(INDEX('iCoA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iCoA-PP_26-142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IF(C127="yes",COUNT(A$1:A126)+1,"")</f>
        <v/>
      </c>
      <c r="B127" s="3">
        <f>IF(A127&lt;&gt;"","CoQ-PP_26-"&amp;TEXT(A127,"000"),"— at issue —")</f>
        <v/>
      </c>
      <c r="C127" s="4" t="inlineStr">
        <is>
          <t>yes</t>
        </is>
      </c>
      <c r="D127" s="5">
        <f>IF(A127="","",MAX(E127,IF(ISNUMBER(I127),I127,0),IFERROR(IF(ISNUMBER(INDEX('iCoA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iCoA-PP_26-144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IF(C128="yes",COUNT(A$1:A127)+1,"")</f>
        <v/>
      </c>
      <c r="B128" s="3">
        <f>IF(A128&lt;&gt;"","CoQ-PP_26-"&amp;TEXT(A128,"000"),"— at issue —")</f>
        <v/>
      </c>
      <c r="C128" s="4" t="inlineStr">
        <is>
          <t>yes</t>
        </is>
      </c>
      <c r="D128" s="5">
        <f>IF(A128="","",MAX(E128,IF(ISNUMBER(I128),I128,0),IFERROR(IF(ISNUMBER(INDEX('iCoA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iCoA-PP_26-143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IF(C129="yes",COUNT(A$1:A128)+1,"")</f>
        <v/>
      </c>
      <c r="B129" s="3">
        <f>IF(A129&lt;&gt;"","CoQ-PP_26-"&amp;TEXT(A129,"000"),"— at issue —")</f>
        <v/>
      </c>
      <c r="C129" s="4" t="inlineStr">
        <is>
          <t>yes</t>
        </is>
      </c>
      <c r="D129" s="5">
        <f>IF(A129="","",MAX(E129,IF(ISNUMBER(I129),I129,0),IFERROR(IF(ISNUMBER(INDEX('iCoA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iCoA-PP_26-149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IF(C130="yes",COUNT(A$1:A129)+1,"")</f>
        <v/>
      </c>
      <c r="B130" s="3">
        <f>IF(A130&lt;&gt;"","CoQ-PP_26-"&amp;TEXT(A130,"000"),"— at issue —")</f>
        <v/>
      </c>
      <c r="C130" s="4" t="inlineStr">
        <is>
          <t>yes</t>
        </is>
      </c>
      <c r="D130" s="5">
        <f>IF(A130="","",MAX(E130,IF(ISNUMBER(I130),I130,0),IFERROR(IF(ISNUMBER(INDEX('iCoA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iCoA-PP_26-150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IF(C131="yes",COUNT(A$1:A130)+1,"")</f>
        <v/>
      </c>
      <c r="B131" s="3">
        <f>IF(A131&lt;&gt;"","CoQ-PP_26-"&amp;TEXT(A131,"000"),"— at issue —")</f>
        <v/>
      </c>
      <c r="C131" s="4" t="inlineStr">
        <is>
          <t>yes</t>
        </is>
      </c>
      <c r="D131" s="5">
        <f>IF(A131="","",MAX(E131,IF(ISNUMBER(I131),I131,0),IFERROR(IF(ISNUMBER(INDEX('iCoA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iCoA-PP_26-151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IF(C132="yes",COUNT(A$1:A131)+1,"")</f>
        <v/>
      </c>
      <c r="B132" s="3">
        <f>IF(A132&lt;&gt;"","CoQ-PP_26-"&amp;TEXT(A132,"000"),"— at issue —")</f>
        <v/>
      </c>
      <c r="C132" s="4" t="inlineStr">
        <is>
          <t>yes</t>
        </is>
      </c>
      <c r="D132" s="5">
        <f>IF(A132="","",MAX(E132,IF(ISNUMBER(I132),I132,0),IFERROR(IF(ISNUMBER(INDEX('iCoA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iCoA-PP_26-152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IF(C133="yes",COUNT(A$1:A132)+1,"")</f>
        <v/>
      </c>
      <c r="B133" s="3">
        <f>IF(A133&lt;&gt;"","CoQ-PP_26-"&amp;TEXT(A133,"000"),"— at issue —")</f>
        <v/>
      </c>
      <c r="C133" s="4" t="inlineStr">
        <is>
          <t>yes</t>
        </is>
      </c>
      <c r="D133" s="5">
        <f>IF(A133="","",MAX(E133,IF(ISNUMBER(I133),I133,0),IFERROR(IF(ISNUMBER(INDEX('iCoA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iCoA-PP_26-153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IF(C134="yes",COUNT(A$1:A133)+1,"")</f>
        <v/>
      </c>
      <c r="B134" s="3">
        <f>IF(A134&lt;&gt;"","CoQ-PP_26-"&amp;TEXT(A134,"000"),"— at issue —")</f>
        <v/>
      </c>
      <c r="C134" s="4" t="inlineStr">
        <is>
          <t>yes</t>
        </is>
      </c>
      <c r="D134" s="5">
        <f>IF(A134="","",MAX(E134,IF(ISNUMBER(I134),I134,0),IFERROR(IF(ISNUMBER(INDEX('iCoA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iCoA-PP_26-154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IF(C135="yes",COUNT(A$1:A134)+1,"")</f>
        <v/>
      </c>
      <c r="B135" s="3">
        <f>IF(A135&lt;&gt;"","CoQ-PP_26-"&amp;TEXT(A135,"000"),"— at issue —")</f>
        <v/>
      </c>
      <c r="C135" s="6" t="inlineStr">
        <is>
          <t>no</t>
        </is>
      </c>
      <c r="D135" s="5">
        <f>IF(A135="","",MAX(E135,IF(ISNUMBER(I135),I135,0),IFERROR(IF(ISNUMBER(INDEX('iCoA Register'!$F:$F,MATCH(S135,'iCoA Register'!$AA:$AA,0))),INDEX('iCoA Register'!$F:$F,MATCH(S135,'iCoA Register'!$AA:$AA,0)),0),0)))</f>
        <v/>
      </c>
      <c r="E135" s="5">
        <f>IF(ISNUMBER(F135),MAX(DATE(2026,6,6),F135+7),DATE(2026,6,6))</f>
        <v/>
      </c>
      <c r="F135" s="5" t="n">
        <v>46142</v>
      </c>
      <c r="G135" s="2" t="inlineStr">
        <is>
          <t>2365-2026</t>
        </is>
      </c>
      <c r="H135" s="2">
        <f>IFERROR(INDEX('iCoA Register'!$B:$B,MATCH("JD112501|I",'iCoA Register'!$AA:$AA,0)),"—")</f>
        <v/>
      </c>
      <c r="I135" s="5">
        <f>IFERROR(INDEX('iCoA Register'!$D:$D,MATCH("JD112501|I",'iCoA Register'!$AA:$AA,0)),"")</f>
        <v/>
      </c>
      <c r="J135" s="2" t="inlineStr">
        <is>
          <t>—</t>
        </is>
      </c>
      <c r="K135" s="2" t="inlineStr">
        <is>
          <t>initial release</t>
        </is>
      </c>
      <c r="L135" s="3" t="inlineStr">
        <is>
          <t>JD112501＊</t>
        </is>
      </c>
      <c r="M135" s="2" t="inlineStr">
        <is>
          <t>N/A — no P batch assigned</t>
        </is>
      </c>
      <c r="N135" s="2" t="inlineStr">
        <is>
          <t>Jelly Donutz</t>
        </is>
      </c>
      <c r="O135" s="6" t="inlineStr">
        <is>
          <t>— no cannabinoid certificate from the initial testing —</t>
        </is>
      </c>
      <c r="P135" s="6" t="inlineStr">
        <is>
          <t>—</t>
        </is>
      </c>
      <c r="Q135" s="2" t="inlineStr">
        <is>
          <t>—</t>
        </is>
      </c>
      <c r="R135" s="2" t="inlineStr">
        <is>
          <t>CoQ-PP-2026-0015</t>
        </is>
      </c>
      <c r="S135" s="2" t="inlineStr">
        <is>
          <t>JD112501|I</t>
        </is>
      </c>
      <c r="T135" s="8" t="inlineStr">
        <is>
          <t>not yet issuable — no packaging date on the list</t>
        </is>
      </c>
      <c r="U135" s="2" t="inlineStr">
        <is>
          <t>n/a — initial certificate</t>
        </is>
      </c>
      <c r="V135" s="10" t="n">
        <v>19.64</v>
      </c>
      <c r="W135" s="2" t="inlineStr">
        <is>
          <t>ППК26063</t>
        </is>
      </c>
      <c r="X135" s="2" t="inlineStr">
        <is>
          <t>18.00 ± 1.80 (II)</t>
        </is>
      </c>
      <c r="Y135" s="2" t="inlineStr">
        <is>
          <t>16.20 – 19.79 %</t>
        </is>
      </c>
      <c r="Z135" s="2" t="inlineStr">
        <is>
          <t>JD_THC18 : CBD1</t>
        </is>
      </c>
      <c r="AA135" s="2" t="inlineStr">
        <is>
          <t>QCSP_001_JD-II_v.01</t>
        </is>
      </c>
      <c r="AB135" s="8" t="inlineStr">
        <is>
          <t>for review — replaces the issued QCSP_001_JD-II_v.01 (was JD_THC16 : CBD1, 14.91 – 17.09 %); now JD_THC18 : CBD1 16.20 – 19.79 %</t>
        </is>
      </c>
      <c r="AC135" s="11" t="inlineStr"/>
    </row>
    <row r="136">
      <c r="A136" s="2">
        <f>IF(C136="yes",COUNT(A$1:A135)+1,"")</f>
        <v/>
      </c>
      <c r="B136" s="3">
        <f>IF(A136&lt;&gt;"","CoQ-PP_26-"&amp;TEXT(A136,"000"),"— at issue —")</f>
        <v/>
      </c>
      <c r="C136" s="6" t="inlineStr">
        <is>
          <t>no</t>
        </is>
      </c>
      <c r="D136" s="5">
        <f>IF(A136="","",MAX(E136,IF(ISNUMBER(I136),I136,0),IFERROR(IF(ISNUMBER(INDEX('iCoA Register'!$F:$F,MATCH(S136,'iCoA Register'!$AA:$AA,0))),INDEX('iCoA Register'!$F:$F,MATCH(S136,'iCoA Register'!$AA:$AA,0)),0),0)))</f>
        <v/>
      </c>
      <c r="E136" s="5">
        <f>IF(ISNUMBER(F136),MAX(DATE(2026,6,6),F136+7),DATE(2026,6,6))</f>
        <v/>
      </c>
      <c r="F136" s="5" t="n">
        <v>46153</v>
      </c>
      <c r="G136" s="2" t="inlineStr">
        <is>
          <t>ППК26062</t>
        </is>
      </c>
      <c r="H136" s="2">
        <f>IFERROR(INDEX('iCoA Register'!$B:$B,MATCH("P060302|I",'iCoA Register'!$AA:$AA,0)),"—")</f>
        <v/>
      </c>
      <c r="I136" s="5">
        <f>IFERROR(INDEX('iCoA Register'!$D:$D,MATCH("P060302|I",'iCoA Register'!$AA:$AA,0)),"")</f>
        <v/>
      </c>
      <c r="J136" s="2" t="inlineStr">
        <is>
          <t>post-SOP</t>
        </is>
      </c>
      <c r="K136" s="2" t="inlineStr">
        <is>
          <t>initial release</t>
        </is>
      </c>
      <c r="L136" s="3" t="inlineStr">
        <is>
          <t>GG012601＊</t>
        </is>
      </c>
      <c r="M136" s="2" t="inlineStr">
        <is>
          <t>P060302</t>
        </is>
      </c>
      <c r="N136" s="2" t="inlineStr">
        <is>
          <t>Gorilla Glue</t>
        </is>
      </c>
      <c r="O136" s="2" t="inlineStr">
        <is>
          <t>ППК26062, (11.05.2026) [CNP]</t>
        </is>
      </c>
      <c r="P136" s="6" t="inlineStr">
        <is>
          <t>—</t>
        </is>
      </c>
      <c r="Q136" s="2" t="inlineStr">
        <is>
          <t>—</t>
        </is>
      </c>
      <c r="R136" s="2" t="inlineStr">
        <is>
          <t>(assigned on issue)</t>
        </is>
      </c>
      <c r="S136" s="2" t="inlineStr">
        <is>
          <t>P060302|I</t>
        </is>
      </c>
      <c r="T136" s="8" t="inlineStr">
        <is>
          <t>not yet issuable — its iCoA is not yet issuable</t>
        </is>
      </c>
      <c r="U136" s="2" t="inlineStr">
        <is>
          <t>n/a — initial certificate</t>
        </is>
      </c>
      <c r="V136" s="10" t="n">
        <v>15.35</v>
      </c>
      <c r="W136" s="2" t="inlineStr">
        <is>
          <t>ППК26062</t>
        </is>
      </c>
      <c r="X136" s="2" t="inlineStr">
        <is>
          <t>15.00 ± 1.23 (II)</t>
        </is>
      </c>
      <c r="Y136" s="2" t="inlineStr">
        <is>
          <t>13.77 – 16.22 %</t>
        </is>
      </c>
      <c r="Z136" s="2" t="inlineStr">
        <is>
          <t>GG_THC15 : CBD1</t>
        </is>
      </c>
      <c r="AA136" s="2" t="inlineStr">
        <is>
          <t>QCSP_001_GG-II_v.01</t>
        </is>
      </c>
      <c r="AB136" s="8" t="inlineStr">
        <is>
          <t>for review — replaces the issued QCSP_001_GG-II_v.01 (was GG_THC16 : CBD1, 15.00 – 17.00 %); now GG_THC15 : CBD1 13.77 – 16.22 %</t>
        </is>
      </c>
      <c r="AC136" s="11" t="inlineStr"/>
    </row>
    <row r="137">
      <c r="A137" s="2">
        <f>IF(C137="yes",COUNT(A$1:A136)+1,"")</f>
        <v/>
      </c>
      <c r="B137" s="3">
        <f>IF(A137&lt;&gt;"","CoQ-PP_26-"&amp;TEXT(A137,"000"),"— at issue —")</f>
        <v/>
      </c>
      <c r="C137" s="6" t="inlineStr">
        <is>
          <t>no</t>
        </is>
      </c>
      <c r="D137" s="5">
        <f>IF(A137="","",MAX(E137,IF(ISNUMBER(I137),I137,0),IFERROR(IF(ISNUMBER(INDEX('iCoA Register'!$F:$F,MATCH(S137,'iCoA Register'!$AA:$AA,0))),INDEX('iCoA Register'!$F:$F,MATCH(S137,'iCoA Register'!$AA:$AA,0)),0),0)))</f>
        <v/>
      </c>
      <c r="E137" s="5">
        <f>IF(ISNUMBER(F137),MAX(DATE(2026,6,6),F137+7),DATE(2026,6,6))</f>
        <v/>
      </c>
      <c r="F137" s="5" t="n">
        <v>46153</v>
      </c>
      <c r="G137" s="2" t="inlineStr">
        <is>
          <t>ППК26064</t>
        </is>
      </c>
      <c r="H137" s="2">
        <f>IFERROR(INDEX('iCoA Register'!$B:$B,MATCH("P060312|I",'iCoA Register'!$AA:$AA,0)),"—")</f>
        <v/>
      </c>
      <c r="I137" s="5">
        <f>IFERROR(INDEX('iCoA Register'!$D:$D,MATCH("P060312|I",'iCoA Register'!$AA:$AA,0)),"")</f>
        <v/>
      </c>
      <c r="J137" s="2" t="inlineStr">
        <is>
          <t>post-SOP</t>
        </is>
      </c>
      <c r="K137" s="2" t="inlineStr">
        <is>
          <t>initial release</t>
        </is>
      </c>
      <c r="L137" s="3" t="inlineStr">
        <is>
          <t>JD012601＊</t>
        </is>
      </c>
      <c r="M137" s="2" t="inlineStr">
        <is>
          <t>P060312</t>
        </is>
      </c>
      <c r="N137" s="2" t="inlineStr">
        <is>
          <t>Jelly Donutz</t>
        </is>
      </c>
      <c r="O137" s="2" t="inlineStr">
        <is>
          <t>ППК26064, (11.05.2026) [CNP]</t>
        </is>
      </c>
      <c r="P137" s="6" t="inlineStr">
        <is>
          <t>—</t>
        </is>
      </c>
      <c r="Q137" s="2" t="inlineStr">
        <is>
          <t>—</t>
        </is>
      </c>
      <c r="R137" s="2" t="inlineStr">
        <is>
          <t>(assigned on issue)</t>
        </is>
      </c>
      <c r="S137" s="2" t="inlineStr">
        <is>
          <t>P060312|I</t>
        </is>
      </c>
      <c r="T137" s="8" t="inlineStr">
        <is>
          <t>not yet issuable — its iCoA is not yet issuable</t>
        </is>
      </c>
      <c r="U137" s="2" t="inlineStr">
        <is>
          <t>n/a — initial certificate</t>
        </is>
      </c>
      <c r="V137" s="10" t="n">
        <v>18.16</v>
      </c>
      <c r="W137" s="2" t="inlineStr">
        <is>
          <t>ППК26064</t>
        </is>
      </c>
      <c r="X137" s="2" t="inlineStr">
        <is>
          <t>18.00 ± 1.80 (II)</t>
        </is>
      </c>
      <c r="Y137" s="2" t="inlineStr">
        <is>
          <t>16.20 – 19.79 %</t>
        </is>
      </c>
      <c r="Z137" s="2" t="inlineStr">
        <is>
          <t>JD_THC18 : CBD1</t>
        </is>
      </c>
      <c r="AA137" s="2" t="inlineStr">
        <is>
          <t>QCSP_001_JD-II_v.01</t>
        </is>
      </c>
      <c r="AB137" s="8" t="inlineStr">
        <is>
          <t>for review — replaces the issued QCSP_001_JD-II_v.01 (was JD_THC16 : CBD1, 14.91 – 17.09 %); now JD_THC18 : CBD1 16.20 – 19.79 %</t>
        </is>
      </c>
      <c r="AC137" s="11" t="inlineStr"/>
    </row>
    <row r="138">
      <c r="A138" s="2">
        <f>IF(C138="yes",COUNT(A$1:A137)+1,"")</f>
        <v/>
      </c>
      <c r="B138" s="3">
        <f>IF(A138&lt;&gt;"","CoQ-PP_26-"&amp;TEXT(A138,"000"),"— at issue —")</f>
        <v/>
      </c>
      <c r="C138" s="6" t="inlineStr">
        <is>
          <t>no</t>
        </is>
      </c>
      <c r="D138" s="5">
        <f>IF(A138="","",MAX(E138,IF(ISNUMBER(I138),I138,0),IFERROR(IF(ISNUMBER(INDEX('iCoA Register'!$F:$F,MATCH(S138,'iCoA Register'!$AA:$AA,0))),INDEX('iCoA Register'!$F:$F,MATCH(S138,'iCoA Register'!$AA:$AA,0)),0),0)))</f>
        <v/>
      </c>
      <c r="E138" s="5">
        <f>IF(ISNUMBER(F138),MAX(DATE(2026,6,6),F138+7),DATE(2026,6,6))</f>
        <v/>
      </c>
      <c r="F138" s="5" t="n">
        <v>46209</v>
      </c>
      <c r="G138" s="2" t="inlineStr">
        <is>
          <t>ППК26117</t>
        </is>
      </c>
      <c r="H138" s="2">
        <f>IFERROR(INDEX('iCoA Register'!$B:$B,MATCH("P160012|I",'iCoA Register'!$AA:$AA,0)),"—")</f>
        <v/>
      </c>
      <c r="I138" s="5">
        <f>IFERROR(INDEX('iCoA Register'!$D:$D,MATCH("P160012|I",'iCoA Register'!$AA:$AA,0)),"")</f>
        <v/>
      </c>
      <c r="J138" s="2" t="inlineStr">
        <is>
          <t>—</t>
        </is>
      </c>
      <c r="K138" s="2" t="inlineStr">
        <is>
          <t>initial release</t>
        </is>
      </c>
      <c r="L138" s="3" t="inlineStr">
        <is>
          <t>— not recorded — (P160012)</t>
        </is>
      </c>
      <c r="M138" s="2" t="inlineStr">
        <is>
          <t>P160012</t>
        </is>
      </c>
      <c r="N138" s="2" t="inlineStr"/>
      <c r="O138" s="2" t="inlineStr">
        <is>
          <t>ППК26117, (06.07.2026) [CNP]</t>
        </is>
      </c>
      <c r="P138" s="2" t="inlineStr">
        <is>
          <t>A: ППК26117 / B: ППК26117 / FM: ППК26117</t>
        </is>
      </c>
      <c r="Q138" s="2" t="inlineStr">
        <is>
          <t>—</t>
        </is>
      </c>
      <c r="R138" s="2" t="inlineStr">
        <is>
          <t>(assigned on issue)</t>
        </is>
      </c>
      <c r="S138" s="2" t="inlineStr">
        <is>
          <t>P160012|I</t>
        </is>
      </c>
      <c r="T138" s="8" t="inlineStr">
        <is>
          <t>not yet issuable — no packaging date on the list</t>
        </is>
      </c>
      <c r="U138" s="2" t="inlineStr">
        <is>
          <t>n/a — initial certificate</t>
        </is>
      </c>
      <c r="V138" s="10" t="n">
        <v>26.32</v>
      </c>
      <c r="W138" s="2" t="inlineStr">
        <is>
          <t>ППК26117</t>
        </is>
      </c>
      <c r="X138" s="2" t="inlineStr">
        <is>
          <t>—</t>
        </is>
      </c>
      <c r="Y138" s="2" t="inlineStr">
        <is>
          <t>—</t>
        </is>
      </c>
      <c r="Z138" s="2" t="inlineStr">
        <is>
          <t>—</t>
        </is>
      </c>
      <c r="AA138" s="2" t="inlineStr">
        <is>
          <t>—</t>
        </is>
      </c>
      <c r="AB138" s="11" t="inlineStr">
        <is>
          <t>—</t>
        </is>
      </c>
      <c r="AC138" s="8" t="inlineStr">
        <is>
          <t>strain not in the potency specification of 15.09.2026</t>
        </is>
      </c>
    </row>
    <row r="139">
      <c r="A139" s="2">
        <f>IF(C139="yes",COUNT(A$1:A138)+1,"")</f>
        <v/>
      </c>
      <c r="B139" s="3">
        <f>IF(A139&lt;&gt;"","CoQ-PP_26-"&amp;TEXT(A139,"000"),"— at issue —")</f>
        <v/>
      </c>
      <c r="C139" s="6" t="inlineStr">
        <is>
          <t>no</t>
        </is>
      </c>
      <c r="D139" s="5">
        <f>IF(A139="","",MAX(E139,IF(ISNUMBER(I139),I139,0),IFERROR(IF(ISNUMBER(INDEX('iCoA Register'!$F:$F,MATCH(S139,'iCoA Register'!$AA:$AA,0))),INDEX('iCoA Register'!$F:$F,MATCH(S139,'iCoA Register'!$AA:$AA,0)),0),0)))</f>
        <v/>
      </c>
      <c r="E139" s="5">
        <f>IF(ISNUMBER(F139),MAX(DATE(2026,6,6),F139+7),DATE(2026,6,6))</f>
        <v/>
      </c>
      <c r="F139" s="5" t="n">
        <v>46209</v>
      </c>
      <c r="G139" s="2" t="inlineStr">
        <is>
          <t>ППК26118</t>
        </is>
      </c>
      <c r="H139" s="2">
        <f>IFERROR(INDEX('iCoA Register'!$B:$B,MATCH("P160022|I",'iCoA Register'!$AA:$AA,0)),"—")</f>
        <v/>
      </c>
      <c r="I139" s="5">
        <f>IFERROR(INDEX('iCoA Register'!$D:$D,MATCH("P160022|I",'iCoA Register'!$AA:$AA,0)),"")</f>
        <v/>
      </c>
      <c r="J139" s="2" t="inlineStr">
        <is>
          <t>—</t>
        </is>
      </c>
      <c r="K139" s="2" t="inlineStr">
        <is>
          <t>initial release</t>
        </is>
      </c>
      <c r="L139" s="3" t="inlineStr">
        <is>
          <t>— not recorded — (P160022)</t>
        </is>
      </c>
      <c r="M139" s="2" t="inlineStr">
        <is>
          <t>P160022</t>
        </is>
      </c>
      <c r="N139" s="2" t="inlineStr"/>
      <c r="O139" s="2" t="inlineStr">
        <is>
          <t>ППК26118, (06.07.2026) [CNP]</t>
        </is>
      </c>
      <c r="P139" s="2" t="inlineStr">
        <is>
          <t>A: ППК26118 / B: ППК26118 / FM: ППК26118</t>
        </is>
      </c>
      <c r="Q139" s="2" t="inlineStr">
        <is>
          <t>—</t>
        </is>
      </c>
      <c r="R139" s="2" t="inlineStr">
        <is>
          <t>(assigned on issue)</t>
        </is>
      </c>
      <c r="S139" s="2" t="inlineStr">
        <is>
          <t>P160022|I</t>
        </is>
      </c>
      <c r="T139" s="8" t="inlineStr">
        <is>
          <t>not yet issuable — no packaging date on the list</t>
        </is>
      </c>
      <c r="U139" s="2" t="inlineStr">
        <is>
          <t>n/a — initial certificate</t>
        </is>
      </c>
      <c r="V139" s="10" t="n">
        <v>25.72</v>
      </c>
      <c r="W139" s="2" t="inlineStr">
        <is>
          <t>ППК26118</t>
        </is>
      </c>
      <c r="X139" s="2" t="inlineStr">
        <is>
          <t>—</t>
        </is>
      </c>
      <c r="Y139" s="2" t="inlineStr">
        <is>
          <t>—</t>
        </is>
      </c>
      <c r="Z139" s="2" t="inlineStr">
        <is>
          <t>—</t>
        </is>
      </c>
      <c r="AA139" s="2" t="inlineStr">
        <is>
          <t>—</t>
        </is>
      </c>
      <c r="AB139" s="11" t="inlineStr">
        <is>
          <t>—</t>
        </is>
      </c>
      <c r="AC139" s="8" t="inlineStr">
        <is>
          <t>strain not in the potency specification of 15.09.2026</t>
        </is>
      </c>
    </row>
    <row r="140">
      <c r="A140" s="2">
        <f>IF(C140="yes",COUNT(A$1:A139)+1,"")</f>
        <v/>
      </c>
      <c r="B140" s="3">
        <f>IF(A140&lt;&gt;"","CoQ-PP_26-"&amp;TEXT(A140,"000"),"— at issue —")</f>
        <v/>
      </c>
      <c r="C140" s="6" t="inlineStr">
        <is>
          <t>no</t>
        </is>
      </c>
      <c r="D140" s="5">
        <f>IF(A140="","",MAX(E140,IF(ISNUMBER(I140),I140,0),IFERROR(IF(ISNUMBER(INDEX('iCoA Register'!$F:$F,MATCH(S140,'iCoA Register'!$AA:$AA,0))),INDEX('iCoA Register'!$F:$F,MATCH(S140,'iCoA Register'!$AA:$AA,0)),0),0)))</f>
        <v/>
      </c>
      <c r="E140" s="5">
        <f>IF(ISNUMBER(F140),MAX(DATE(2026,6,6),F140+7),DATE(2026,6,6))</f>
        <v/>
      </c>
      <c r="F140" s="5" t="n">
        <v>46209</v>
      </c>
      <c r="G140" s="2" t="inlineStr">
        <is>
          <t>ППК26119</t>
        </is>
      </c>
      <c r="H140" s="2">
        <f>IFERROR(INDEX('iCoA Register'!$B:$B,MATCH("P160032|I",'iCoA Register'!$AA:$AA,0)),"—")</f>
        <v/>
      </c>
      <c r="I140" s="5">
        <f>IFERROR(INDEX('iCoA Register'!$D:$D,MATCH("P160032|I",'iCoA Register'!$AA:$AA,0)),"")</f>
        <v/>
      </c>
      <c r="J140" s="2" t="inlineStr">
        <is>
          <t>—</t>
        </is>
      </c>
      <c r="K140" s="2" t="inlineStr">
        <is>
          <t>initial release</t>
        </is>
      </c>
      <c r="L140" s="3" t="inlineStr">
        <is>
          <t>— not recorded — (P160032)</t>
        </is>
      </c>
      <c r="M140" s="2" t="inlineStr">
        <is>
          <t>P160032</t>
        </is>
      </c>
      <c r="N140" s="2" t="inlineStr"/>
      <c r="O140" s="2" t="inlineStr">
        <is>
          <t>ППК26119, (06.07.2026) [CNP]</t>
        </is>
      </c>
      <c r="P140" s="2" t="inlineStr">
        <is>
          <t>A: ППК26119 / B: ППК26119 / FM: ППК26119</t>
        </is>
      </c>
      <c r="Q140" s="2" t="inlineStr">
        <is>
          <t>—</t>
        </is>
      </c>
      <c r="R140" s="2" t="inlineStr">
        <is>
          <t>(assigned on issue)</t>
        </is>
      </c>
      <c r="S140" s="2" t="inlineStr">
        <is>
          <t>P160032|I</t>
        </is>
      </c>
      <c r="T140" s="8" t="inlineStr">
        <is>
          <t>not yet issuable — no packaging date on the list</t>
        </is>
      </c>
      <c r="U140" s="2" t="inlineStr">
        <is>
          <t>n/a — initial certificate</t>
        </is>
      </c>
      <c r="V140" s="10" t="n">
        <v>24.78</v>
      </c>
      <c r="W140" s="2" t="inlineStr">
        <is>
          <t>ППК26119</t>
        </is>
      </c>
      <c r="X140" s="2" t="inlineStr">
        <is>
          <t>—</t>
        </is>
      </c>
      <c r="Y140" s="2" t="inlineStr">
        <is>
          <t>—</t>
        </is>
      </c>
      <c r="Z140" s="2" t="inlineStr">
        <is>
          <t>—</t>
        </is>
      </c>
      <c r="AA140" s="2" t="inlineStr">
        <is>
          <t>—</t>
        </is>
      </c>
      <c r="AB140" s="11" t="inlineStr">
        <is>
          <t>—</t>
        </is>
      </c>
      <c r="AC140" s="8" t="inlineStr">
        <is>
          <t>strain not in the potency specification of 15.09.2026</t>
        </is>
      </c>
    </row>
    <row r="141">
      <c r="A141" s="2">
        <f>IF(C141="yes",COUNT(A$1:A140)+1,"")</f>
        <v/>
      </c>
      <c r="B141" s="3">
        <f>IF(A141&lt;&gt;"","CoQ-PP_26-"&amp;TEXT(A141,"000"),"— at issue —")</f>
        <v/>
      </c>
      <c r="C141" s="6" t="inlineStr">
        <is>
          <t>no</t>
        </is>
      </c>
      <c r="D141" s="5">
        <f>IF(A141="","",MAX(E141,IF(ISNUMBER(I141),I141,0),IFERROR(IF(ISNUMBER(INDEX('iCoA Register'!$F:$F,MATCH(S141,'iCoA Register'!$AA:$AA,0))),INDEX('iCoA Register'!$F:$F,MATCH(S141,'iCoA Register'!$AA:$AA,0)),0),0)))</f>
        <v/>
      </c>
      <c r="E141" s="5">
        <f>IF(ISNUMBER(F141),MAX(DATE(2026,6,6),F141+7),DATE(2026,6,6))</f>
        <v/>
      </c>
      <c r="F141" s="5" t="inlineStr">
        <is>
          <t>—</t>
        </is>
      </c>
      <c r="G141" s="2" t="inlineStr">
        <is>
          <t>—</t>
        </is>
      </c>
      <c r="H141" s="2">
        <f>IFERROR(INDEX('iCoA Register'!$B:$B,MATCH("CC042601|I",'iCoA Register'!$AA:$AA,0)),"—")</f>
        <v/>
      </c>
      <c r="I141" s="5">
        <f>IFERROR(INDEX('iCoA Register'!$D:$D,MATCH("CC042601|I",'iCoA Register'!$AA:$AA,0)),"")</f>
        <v/>
      </c>
      <c r="J141" s="2" t="inlineStr">
        <is>
          <t>—</t>
        </is>
      </c>
      <c r="K141" s="2" t="inlineStr">
        <is>
          <t>initial release</t>
        </is>
      </c>
      <c r="L141" s="3" t="inlineStr">
        <is>
          <t>CC042601</t>
        </is>
      </c>
      <c r="M141" s="2" t="inlineStr">
        <is>
          <t>N/A — no P batch assigned</t>
        </is>
      </c>
      <c r="N141" s="2" t="inlineStr">
        <is>
          <t>Cash Cow</t>
        </is>
      </c>
      <c r="O141" s="6" t="inlineStr">
        <is>
          <t>— no cannabinoid certificate from the initial testing —</t>
        </is>
      </c>
      <c r="P141" s="6" t="inlineStr">
        <is>
          <t>—</t>
        </is>
      </c>
      <c r="Q141" s="2" t="inlineStr">
        <is>
          <t>—</t>
        </is>
      </c>
      <c r="R141" s="2" t="inlineStr">
        <is>
          <t>(assigned on issue)</t>
        </is>
      </c>
      <c r="S141" s="2" t="inlineStr">
        <is>
          <t>CC042601|I</t>
        </is>
      </c>
      <c r="T141" s="8" t="inlineStr">
        <is>
          <t>not yet issuable — no packaging date on the list</t>
        </is>
      </c>
      <c r="U141" s="2" t="inlineStr">
        <is>
          <t>n/a — initial certificate</t>
        </is>
      </c>
      <c r="V141" s="2" t="inlineStr">
        <is>
          <t>—</t>
        </is>
      </c>
      <c r="W141" s="2" t="inlineStr">
        <is>
          <t>—</t>
        </is>
      </c>
      <c r="X141" s="2" t="inlineStr">
        <is>
          <t>—</t>
        </is>
      </c>
      <c r="Y141" s="2" t="inlineStr">
        <is>
          <t>—</t>
        </is>
      </c>
      <c r="Z141" s="2" t="inlineStr">
        <is>
          <t>—</t>
        </is>
      </c>
      <c r="AA141" s="2" t="inlineStr">
        <is>
          <t>—</t>
        </is>
      </c>
      <c r="AB141" s="11" t="inlineStr">
        <is>
          <t>—</t>
        </is>
      </c>
      <c r="AC141" s="8" t="inlineStr">
        <is>
          <t>no Total THC result on this certificate</t>
        </is>
      </c>
    </row>
    <row r="142">
      <c r="A142" s="2">
        <f>IF(C142="yes",COUNT(A$1:A141)+1,"")</f>
        <v/>
      </c>
      <c r="B142" s="3">
        <f>IF(A142&lt;&gt;"","CoQ-PP_26-"&amp;TEXT(A142,"000"),"— at issue —")</f>
        <v/>
      </c>
      <c r="C142" s="6" t="inlineStr">
        <is>
          <t>no</t>
        </is>
      </c>
      <c r="D142" s="5">
        <f>IF(A142="","",MAX(E142,IF(ISNUMBER(I142),I142,0),IFERROR(IF(ISNUMBER(INDEX('iCoA Register'!$F:$F,MATCH(S142,'iCoA Register'!$AA:$AA,0))),INDEX('iCoA Register'!$F:$F,MATCH(S142,'iCoA Register'!$AA:$AA,0)),0),0)))</f>
        <v/>
      </c>
      <c r="E142" s="5">
        <f>IF(ISNUMBER(F142),MAX(DATE(2026,6,6),F142+7),DATE(2026,6,6))</f>
        <v/>
      </c>
      <c r="F142" s="5" t="inlineStr">
        <is>
          <t>—</t>
        </is>
      </c>
      <c r="G142" s="2" t="inlineStr">
        <is>
          <t>—</t>
        </is>
      </c>
      <c r="H142" s="2">
        <f>IFERROR(INDEX('iCoA Register'!$B:$B,MATCH("FB042601|I",'iCoA Register'!$AA:$AA,0)),"—")</f>
        <v/>
      </c>
      <c r="I142" s="5">
        <f>IFERROR(INDEX('iCoA Register'!$D:$D,MATCH("FB042601|I",'iCoA Register'!$AA:$AA,0)),"")</f>
        <v/>
      </c>
      <c r="J142" s="2" t="inlineStr">
        <is>
          <t>—</t>
        </is>
      </c>
      <c r="K142" s="2" t="inlineStr">
        <is>
          <t>initial release</t>
        </is>
      </c>
      <c r="L142" s="3" t="inlineStr">
        <is>
          <t>FB042601</t>
        </is>
      </c>
      <c r="M142" s="2" t="inlineStr">
        <is>
          <t>N/A — no P batch assigned</t>
        </is>
      </c>
      <c r="N142" s="2" t="inlineStr">
        <is>
          <t>Fat Bastard</t>
        </is>
      </c>
      <c r="O142" s="6" t="inlineStr">
        <is>
          <t>— no cannabinoid certificate from the initial testing —</t>
        </is>
      </c>
      <c r="P142" s="6" t="inlineStr">
        <is>
          <t>—</t>
        </is>
      </c>
      <c r="Q142" s="2" t="inlineStr">
        <is>
          <t>—</t>
        </is>
      </c>
      <c r="R142" s="2" t="inlineStr">
        <is>
          <t>(assigned on issue)</t>
        </is>
      </c>
      <c r="S142" s="2" t="inlineStr">
        <is>
          <t>FB042601|I</t>
        </is>
      </c>
      <c r="T142" s="8" t="inlineStr">
        <is>
          <t>not yet issuable — no packaging date on the list</t>
        </is>
      </c>
      <c r="U142" s="2" t="inlineStr">
        <is>
          <t>n/a — initial certificate</t>
        </is>
      </c>
      <c r="V142" s="2" t="inlineStr">
        <is>
          <t>—</t>
        </is>
      </c>
      <c r="W142" s="2" t="inlineStr">
        <is>
          <t>—</t>
        </is>
      </c>
      <c r="X142" s="2" t="inlineStr">
        <is>
          <t>—</t>
        </is>
      </c>
      <c r="Y142" s="2" t="inlineStr">
        <is>
          <t>—</t>
        </is>
      </c>
      <c r="Z142" s="2" t="inlineStr">
        <is>
          <t>—</t>
        </is>
      </c>
      <c r="AA142" s="2" t="inlineStr">
        <is>
          <t>—</t>
        </is>
      </c>
      <c r="AB142" s="11" t="inlineStr">
        <is>
          <t>—</t>
        </is>
      </c>
      <c r="AC142" s="8" t="inlineStr">
        <is>
          <t>no Total THC result on this certificate</t>
        </is>
      </c>
    </row>
    <row r="143">
      <c r="A143" s="2">
        <f>IF(C143="yes",COUNT(A$1:A142)+1,"")</f>
        <v/>
      </c>
      <c r="B143" s="3">
        <f>IF(A143&lt;&gt;"","CoQ-PP_26-"&amp;TEXT(A143,"000"),"— at issue —")</f>
        <v/>
      </c>
      <c r="C143" s="6" t="inlineStr">
        <is>
          <t>no</t>
        </is>
      </c>
      <c r="D143" s="5">
        <f>IF(A143="","",MAX(E143,IF(ISNUMBER(I143),I143,0),IFERROR(IF(ISNUMBER(INDEX('iCoA Register'!$F:$F,MATCH(S143,'iCoA Register'!$AA:$AA,0))),INDEX('iCoA Register'!$F:$F,MATCH(S143,'iCoA Register'!$AA:$AA,0)),0),0)))</f>
        <v/>
      </c>
      <c r="E143" s="5">
        <f>IF(ISNUMBER(F143),MAX(DATE(2026,6,6),F143+7),"— awaiting the retest certificates —")</f>
        <v/>
      </c>
      <c r="F143" s="5" t="n">
        <v>46276</v>
      </c>
      <c r="G143" s="2" t="inlineStr">
        <is>
          <t>227-26-K-26</t>
        </is>
      </c>
      <c r="H143" s="2">
        <f>IFERROR(INDEX('iCoA Register'!$B:$B,MATCH("CJ1024|R",'iCoA Register'!$AA:$AA,0)),"—")</f>
        <v/>
      </c>
      <c r="I143" s="5">
        <f>IFERROR(INDEX('iCoA Register'!$D:$D,MATCH("CJ1024|R",'iCoA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t>
        </is>
      </c>
      <c r="T143" s="8" t="inlineStr">
        <is>
          <t>not yet issuable — sampled — retest assay on file, mycotoxins pending; iCoA tested 21.08.2026, issued 24.08.2026 · issued 7 days after the latest retest certificate once the assay, the mycotoxins and the iCoA exist</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IF(C144="yes",COUNT(A$1:A143)+1,"")</f>
        <v/>
      </c>
      <c r="B144" s="3">
        <f>IF(A144&lt;&gt;"","CoQ-PP_26-"&amp;TEXT(A144,"000"),"— at issue —")</f>
        <v/>
      </c>
      <c r="C144" s="6" t="inlineStr">
        <is>
          <t>no</t>
        </is>
      </c>
      <c r="D144" s="5">
        <f>IF(A144="","",MAX(E144,IF(ISNUMBER(I144),I144,0),IFERROR(IF(ISNUMBER(INDEX('iCoA Register'!$F:$F,MATCH(S144,'iCoA Register'!$AA:$AA,0))),INDEX('iCoA Register'!$F:$F,MATCH(S144,'iCoA Register'!$AA:$AA,0)),0),0)))</f>
        <v/>
      </c>
      <c r="E144" s="5">
        <f>IF(ISNUMBER(F144),MAX(DATE(2026,6,6),F144+7),"— awaiting the retest certificates —")</f>
        <v/>
      </c>
      <c r="F144" s="5" t="n">
        <v>46276</v>
      </c>
      <c r="G144" s="2" t="inlineStr">
        <is>
          <t>227-2-K-26</t>
        </is>
      </c>
      <c r="H144" s="2">
        <f>IFERROR(INDEX('iCoA Register'!$B:$B,MATCH("P050102|R",'iCoA Register'!$AA:$AA,0)),"—")</f>
        <v/>
      </c>
      <c r="I144" s="5">
        <f>IFERROR(INDEX('iCoA Register'!$D:$D,MATCH("P050102|R",'iCoA Register'!$AA:$AA,0)),"")</f>
        <v/>
      </c>
      <c r="J144" s="2" t="inlineStr">
        <is>
          <t>legacy</t>
        </is>
      </c>
      <c r="K144" s="2" t="inlineStr">
        <is>
          <t>retest — Tranche 3 (sampled 19–21.08.2026)</t>
        </is>
      </c>
      <c r="L144" s="3" t="inlineStr">
        <is>
          <t>GP0824_01</t>
        </is>
      </c>
      <c r="M144" s="2" t="inlineStr">
        <is>
          <t>P050102</t>
        </is>
      </c>
      <c r="N144" s="2" t="inlineStr">
        <is>
          <t>Grape Pie</t>
        </is>
      </c>
      <c r="O144" s="2" t="inlineStr">
        <is>
          <t>227-2-K-26, (11.09.2026) [FHM-K]</t>
        </is>
      </c>
      <c r="P144" s="6" t="inlineStr">
        <is>
          <t>—</t>
        </is>
      </c>
      <c r="Q144" s="2" t="inlineStr">
        <is>
          <t>—</t>
        </is>
      </c>
      <c r="R144" s="2" t="inlineStr">
        <is>
          <t>CoQ reissue (assigned on issue)</t>
        </is>
      </c>
      <c r="S144" s="2" t="inlineStr">
        <is>
          <t>P050102|R</t>
        </is>
      </c>
      <c r="T144" s="8" t="inlineStr">
        <is>
          <t>not yet issuable — sampled — retest assay on file, mycotoxins pending; iCoA tested 19.08.2026, issued 24.08.2026 · issued 7 days after the latest retest certificate once the assay, the mycotoxins and the iCoA exist</t>
        </is>
      </c>
      <c r="U144" s="2">
        <f>IFERROR(INDEX('CoQ Register'!$B:$B,MATCH("P050102|I",'CoQ Register'!$S:$S,0)),"— initial certificate not on the register —")</f>
        <v/>
      </c>
      <c r="V144" s="10" t="n">
        <v>28.68</v>
      </c>
      <c r="W144" s="2" t="inlineStr">
        <is>
          <t>227-2-К/26</t>
        </is>
      </c>
      <c r="X144" s="2" t="inlineStr">
        <is>
          <t>28.00 ± 2.00 (I)</t>
        </is>
      </c>
      <c r="Y144" s="2" t="inlineStr">
        <is>
          <t>26.00 – 29.99 %</t>
        </is>
      </c>
      <c r="Z144" s="2" t="inlineStr">
        <is>
          <t>GP_THC28 : CBD1</t>
        </is>
      </c>
      <c r="AA144" s="2" t="inlineStr">
        <is>
          <t>QCSP_001_GP-I_v.01</t>
        </is>
      </c>
      <c r="AB144" s="8" t="inlineStr">
        <is>
          <t>for review — replaces the issued QCSP_001_GP-I_v.01 (was GP_THC28 : CBD1, 26.61 – 29.39 %); now GP_THC28 : CBD1 26.00 – 29.99 %</t>
        </is>
      </c>
      <c r="AC144" s="11" t="inlineStr"/>
    </row>
    <row r="145">
      <c r="A145" s="2">
        <f>IF(C145="yes",COUNT(A$1:A144)+1,"")</f>
        <v/>
      </c>
      <c r="B145" s="3">
        <f>IF(A145&lt;&gt;"","CoQ-PP_26-"&amp;TEXT(A145,"000"),"— at issue —")</f>
        <v/>
      </c>
      <c r="C145" s="6" t="inlineStr">
        <is>
          <t>no</t>
        </is>
      </c>
      <c r="D145" s="5">
        <f>IF(A145="","",MAX(E145,IF(ISNUMBER(I145),I145,0),IFERROR(IF(ISNUMBER(INDEX('iCoA Register'!$F:$F,MATCH(S145,'iCoA Register'!$AA:$AA,0))),INDEX('iCoA Register'!$F:$F,MATCH(S145,'iCoA Register'!$AA:$AA,0)),0),0)))</f>
        <v/>
      </c>
      <c r="E145" s="5">
        <f>IF(ISNUMBER(F145),MAX(DATE(2026,6,6),F145+7),"— awaiting the retest certificates —")</f>
        <v/>
      </c>
      <c r="F145" s="5" t="n">
        <v>46276</v>
      </c>
      <c r="G145" s="2" t="inlineStr">
        <is>
          <t>227-12-K-26</t>
        </is>
      </c>
      <c r="H145" s="2">
        <f>IFERROR(INDEX('iCoA Register'!$B:$B,MATCH("P050032|R",'iCoA Register'!$AA:$AA,0)),"—")</f>
        <v/>
      </c>
      <c r="I145" s="5">
        <f>IFERROR(INDEX('iCoA Register'!$D:$D,MATCH("P050032|R",'iCoA Register'!$AA:$AA,0)),"")</f>
        <v/>
      </c>
      <c r="J145" s="2" t="inlineStr">
        <is>
          <t>legacy</t>
        </is>
      </c>
      <c r="K145" s="2" t="inlineStr">
        <is>
          <t>retest — Tranche 3 (sampled 19–21.08.2026)</t>
        </is>
      </c>
      <c r="L145" s="3" t="inlineStr">
        <is>
          <t>MB0824_04</t>
        </is>
      </c>
      <c r="M145" s="2" t="inlineStr">
        <is>
          <t>P050032</t>
        </is>
      </c>
      <c r="N145" s="2" t="inlineStr">
        <is>
          <t>Motor Breath</t>
        </is>
      </c>
      <c r="O145" s="2" t="inlineStr">
        <is>
          <t>227-12-K-26, (11.09.2026) [FHM-K]</t>
        </is>
      </c>
      <c r="P145" s="6" t="inlineStr">
        <is>
          <t>—</t>
        </is>
      </c>
      <c r="Q145" s="2" t="inlineStr">
        <is>
          <t>—</t>
        </is>
      </c>
      <c r="R145" s="2" t="inlineStr">
        <is>
          <t>CoQ reissue (assigned on issue)</t>
        </is>
      </c>
      <c r="S145" s="2" t="inlineStr">
        <is>
          <t>P050032|R</t>
        </is>
      </c>
      <c r="T145" s="8" t="inlineStr">
        <is>
          <t>not yet issuable — sampled — retest assay on file, mycotoxins pending; iCoA tested 20.08.2026, issued 24.08.2026 · issued 7 days after the latest retest certificate once the assay, the mycotoxins and the iCoA exist</t>
        </is>
      </c>
      <c r="U145" s="2">
        <f>IFERROR(INDEX('CoQ Register'!$B:$B,MATCH("P050032|I",'CoQ Register'!$S:$S,0)),"— initial certificate not on the register —")</f>
        <v/>
      </c>
      <c r="V145" s="10" t="n">
        <v>17.57</v>
      </c>
      <c r="W145" s="2" t="inlineStr">
        <is>
          <t>227-12-К/26</t>
        </is>
      </c>
      <c r="X145" s="2" t="inlineStr">
        <is>
          <t>18.00 ± 1.80 (I)</t>
        </is>
      </c>
      <c r="Y145" s="2" t="inlineStr">
        <is>
          <t>16.20 – 19.79 %</t>
        </is>
      </c>
      <c r="Z145" s="2" t="inlineStr">
        <is>
          <t>MB_THC18 : CBD1</t>
        </is>
      </c>
      <c r="AA145" s="2" t="inlineStr">
        <is>
          <t>QCSP_001_MB-I_v.01</t>
        </is>
      </c>
      <c r="AB145" s="8" t="inlineStr">
        <is>
          <t>for review — replaces the issued QCSP_001_MB-I_v.01 (was MB_THC18 : CBD1, 16.20 – 19.80 %); now MB_THC18 : CBD1 16.20 – 19.79 %</t>
        </is>
      </c>
      <c r="AC145" s="11" t="inlineStr"/>
    </row>
    <row r="146">
      <c r="A146" s="2">
        <f>IF(C146="yes",COUNT(A$1:A145)+1,"")</f>
        <v/>
      </c>
      <c r="B146" s="3">
        <f>IF(A146&lt;&gt;"","CoQ-PP_26-"&amp;TEXT(A146,"000"),"— at issue —")</f>
        <v/>
      </c>
      <c r="C146" s="6" t="inlineStr">
        <is>
          <t>no</t>
        </is>
      </c>
      <c r="D146" s="5">
        <f>IF(A146="","",MAX(E146,IF(ISNUMBER(I146),I146,0),IFERROR(IF(ISNUMBER(INDEX('iCoA Register'!$F:$F,MATCH(S146,'iCoA Register'!$AA:$AA,0))),INDEX('iCoA Register'!$F:$F,MATCH(S146,'iCoA Register'!$AA:$AA,0)),0),0)))</f>
        <v/>
      </c>
      <c r="E146" s="5">
        <f>IF(ISNUMBER(F146),MAX(DATE(2026,6,6),F146+7),"— awaiting the retest certificates —")</f>
        <v/>
      </c>
      <c r="F146" s="5" t="n">
        <v>46276</v>
      </c>
      <c r="G146" s="2" t="inlineStr">
        <is>
          <t>227-19-K-26</t>
        </is>
      </c>
      <c r="H146" s="2">
        <f>IFERROR(INDEX('iCoA Register'!$B:$B,MATCH("P050012|R",'iCoA Register'!$AA:$AA,0)),"—")</f>
        <v/>
      </c>
      <c r="I146" s="5">
        <f>IFERROR(INDEX('iCoA Register'!$D:$D,MATCH("P050012|R",'iCoA Register'!$AA:$AA,0)),"")</f>
        <v/>
      </c>
      <c r="J146" s="2" t="inlineStr">
        <is>
          <t>legacy</t>
        </is>
      </c>
      <c r="K146" s="2" t="inlineStr">
        <is>
          <t>retest — Tranche 3 (sampled 19–21.08.2026)</t>
        </is>
      </c>
      <c r="L146" s="3" t="inlineStr">
        <is>
          <t>GG1024_02</t>
        </is>
      </c>
      <c r="M146" s="2" t="inlineStr">
        <is>
          <t>P050012</t>
        </is>
      </c>
      <c r="N146" s="2" t="inlineStr">
        <is>
          <t>Gorilla Glue</t>
        </is>
      </c>
      <c r="O146" s="2" t="inlineStr">
        <is>
          <t>227-19-K-26, (11.09.2026) [FHM-K]</t>
        </is>
      </c>
      <c r="P146" s="6" t="inlineStr">
        <is>
          <t>—</t>
        </is>
      </c>
      <c r="Q146" s="2" t="inlineStr">
        <is>
          <t>—</t>
        </is>
      </c>
      <c r="R146" s="2" t="inlineStr">
        <is>
          <t>CoQ reissue (assigned on issue)</t>
        </is>
      </c>
      <c r="S146" s="2" t="inlineStr">
        <is>
          <t>P050012|R</t>
        </is>
      </c>
      <c r="T146" s="8" t="inlineStr">
        <is>
          <t>not yet issuable — sampled — retest assay on file, mycotoxins pending; iCoA tested 20.08.2026, issued 24.08.2026 · issued 7 days after the latest retest certificate once the assay, the mycotoxins and the iCoA exist</t>
        </is>
      </c>
      <c r="U146" s="2">
        <f>IFERROR(INDEX('CoQ Register'!$B:$B,MATCH("P050012|I",'CoQ Register'!$S:$S,0)),"— initial certificate not on the register —")</f>
        <v/>
      </c>
      <c r="V146" s="10" t="n">
        <v>17.76</v>
      </c>
      <c r="W146" s="2" t="inlineStr">
        <is>
          <t>227-19-К/26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IF(C147="yes",COUNT(A$1:A146)+1,"")</f>
        <v/>
      </c>
      <c r="B147" s="3">
        <f>IF(A147&lt;&gt;"","CoQ-PP_26-"&amp;TEXT(A147,"000"),"— at issue —")</f>
        <v/>
      </c>
      <c r="C147" s="6" t="inlineStr">
        <is>
          <t>no</t>
        </is>
      </c>
      <c r="D147" s="5">
        <f>IF(A147="","",MAX(E147,IF(ISNUMBER(I147),I147,0),IFERROR(IF(ISNUMBER(INDEX('iCoA Register'!$F:$F,MATCH(S147,'iCoA Register'!$AA:$AA,0))),INDEX('iCoA Register'!$F:$F,MATCH(S147,'iCoA Register'!$AA:$AA,0)),0),0)))</f>
        <v/>
      </c>
      <c r="E147" s="5">
        <f>IF(ISNUMBER(F147),MAX(DATE(2026,6,6),F147+7),"— awaiting the retest certificates —")</f>
        <v/>
      </c>
      <c r="F147" s="5" t="n">
        <v>46276</v>
      </c>
      <c r="G147" s="2" t="inlineStr">
        <is>
          <t>227-11-K-26</t>
        </is>
      </c>
      <c r="H147" s="2">
        <f>IFERROR(INDEX('iCoA Register'!$B:$B,MATCH("P050132|R",'iCoA Register'!$AA:$AA,0)),"—")</f>
        <v/>
      </c>
      <c r="I147" s="5">
        <f>IFERROR(INDEX('iCoA Register'!$D:$D,MATCH("P050132|R",'iCoA Register'!$AA:$AA,0)),"")</f>
        <v/>
      </c>
      <c r="J147" s="2" t="inlineStr">
        <is>
          <t>legacy</t>
        </is>
      </c>
      <c r="K147" s="2" t="inlineStr">
        <is>
          <t>retest — Tranche 3 (sampled 19–21.08.2026)</t>
        </is>
      </c>
      <c r="L147" s="3" t="inlineStr">
        <is>
          <t>OPM052501</t>
        </is>
      </c>
      <c r="M147" s="2" t="inlineStr">
        <is>
          <t>P050132</t>
        </is>
      </c>
      <c r="N147" s="2" t="inlineStr">
        <is>
          <t>Orange Punch Mimosa</t>
        </is>
      </c>
      <c r="O147" s="2" t="inlineStr">
        <is>
          <t>227-11-K-26, (11.09.2026) [FHM-K]</t>
        </is>
      </c>
      <c r="P147" s="6" t="inlineStr">
        <is>
          <t>—</t>
        </is>
      </c>
      <c r="Q147" s="2" t="inlineStr">
        <is>
          <t>—</t>
        </is>
      </c>
      <c r="R147" s="2" t="inlineStr">
        <is>
          <t>CoQ reissue (assigned on issue)</t>
        </is>
      </c>
      <c r="S147" s="2" t="inlineStr">
        <is>
          <t>P050132|R</t>
        </is>
      </c>
      <c r="T147" s="8" t="inlineStr">
        <is>
          <t>not yet issuable — sampled — retest assay on file, mycotoxins pending; iCoA tested 20.08.2026, issued 24.08.2026 · issued 7 days after the latest retest certificate once the assay, the mycotoxins and the iCoA exist</t>
        </is>
      </c>
      <c r="U147" s="2">
        <f>IFERROR(INDEX('CoQ Register'!$B:$B,MATCH("P050132|I",'CoQ Register'!$S:$S,0)),"— initial certificate not on the register —")</f>
        <v/>
      </c>
      <c r="V147" s="10" t="n">
        <v>17.83</v>
      </c>
      <c r="W147" s="2" t="inlineStr">
        <is>
          <t>227-11-К/26</t>
        </is>
      </c>
      <c r="X147" s="2" t="inlineStr">
        <is>
          <t>17.00 ± 1.60 (II)</t>
        </is>
      </c>
      <c r="Y147" s="2" t="inlineStr">
        <is>
          <t>15.40 – 18.59 %</t>
        </is>
      </c>
      <c r="Z147" s="2" t="inlineStr">
        <is>
          <t>OPM_THC17 : CBD1</t>
        </is>
      </c>
      <c r="AA147" s="2" t="inlineStr">
        <is>
          <t>QCSP_001_OPM-II_v.01</t>
        </is>
      </c>
      <c r="AB147" s="8" t="inlineStr">
        <is>
          <t>for review — replaces the issued QCSP_001_OPM-II_v.01 (was OPM_THC18 : CBD1, 16.20 – 19.80 %); now OPM_THC17 : CBD1 15.40 – 18.59 %</t>
        </is>
      </c>
      <c r="AC147" s="11" t="inlineStr"/>
    </row>
    <row r="148">
      <c r="A148" s="2">
        <f>IF(C148="yes",COUNT(A$1:A147)+1,"")</f>
        <v/>
      </c>
      <c r="B148" s="3">
        <f>IF(A148&lt;&gt;"","CoQ-PP_26-"&amp;TEXT(A148,"000"),"— at issue —")</f>
        <v/>
      </c>
      <c r="C148" s="6" t="inlineStr">
        <is>
          <t>no</t>
        </is>
      </c>
      <c r="D148" s="5">
        <f>IF(A148="","",MAX(E148,IF(ISNUMBER(I148),I148,0),IFERROR(IF(ISNUMBER(INDEX('iCoA Register'!$F:$F,MATCH(S148,'iCoA Register'!$AA:$AA,0))),INDEX('iCoA Register'!$F:$F,MATCH(S148,'iCoA Register'!$AA:$AA,0)),0),0)))</f>
        <v/>
      </c>
      <c r="E148" s="5">
        <f>IF(ISNUMBER(F148),MAX(DATE(2026,6,6),F148+7),"— awaiting the retest certificates —")</f>
        <v/>
      </c>
      <c r="F148" s="5" t="n">
        <v>46276</v>
      </c>
      <c r="G148" s="2" t="inlineStr">
        <is>
          <t>227-28-K-26</t>
        </is>
      </c>
      <c r="H148" s="2">
        <f>IFERROR(INDEX('iCoA Register'!$B:$B,MATCH("P050172|R",'iCoA Register'!$AA:$AA,0)),"—")</f>
        <v/>
      </c>
      <c r="I148" s="5">
        <f>IFERROR(INDEX('iCoA Register'!$D:$D,MATCH("P050172|R",'iCoA Register'!$AA:$AA,0)),"")</f>
        <v/>
      </c>
      <c r="J148" s="2" t="inlineStr">
        <is>
          <t>legacy</t>
        </is>
      </c>
      <c r="K148" s="2" t="inlineStr">
        <is>
          <t>retest — Tranche 3 (sampled 19–21.08.2026)</t>
        </is>
      </c>
      <c r="L148" s="3" t="inlineStr">
        <is>
          <t>CJ052501/02</t>
        </is>
      </c>
      <c r="M148" s="2" t="inlineStr">
        <is>
          <t>P050172</t>
        </is>
      </c>
      <c r="N148" s="2" t="inlineStr">
        <is>
          <t>Cap Junky</t>
        </is>
      </c>
      <c r="O148" s="2" t="inlineStr">
        <is>
          <t>227-28-K-26, (11.09.2026) [FHM-K]</t>
        </is>
      </c>
      <c r="P148" s="6" t="inlineStr">
        <is>
          <t>—</t>
        </is>
      </c>
      <c r="Q148" s="2" t="inlineStr">
        <is>
          <t>—</t>
        </is>
      </c>
      <c r="R148" s="2" t="inlineStr">
        <is>
          <t>CoQ reissue (assigned on issue)</t>
        </is>
      </c>
      <c r="S148" s="2" t="inlineStr">
        <is>
          <t>P050172|R</t>
        </is>
      </c>
      <c r="T148" s="8" t="inlineStr">
        <is>
          <t>not yet issuable — sampled — retest assay on file, mycotoxins pending; iCoA tested 21.08.2026, issued 24.08.2026 · issued 7 days after the latest retest certificate once the assay, the mycotoxins and the iCoA exist</t>
        </is>
      </c>
      <c r="U148" s="2">
        <f>IFERROR(INDEX('CoQ Register'!$B:$B,MATCH("P050172|I",'CoQ Register'!$S:$S,0)),"— initial certificate not on the register —")</f>
        <v/>
      </c>
      <c r="V148" s="10" t="n">
        <v>21.3</v>
      </c>
      <c r="W148" s="2" t="inlineStr">
        <is>
          <t>227-28-К/26</t>
        </is>
      </c>
      <c r="X148" s="2" t="inlineStr">
        <is>
          <t>20.00 ± 1.60 (III)</t>
        </is>
      </c>
      <c r="Y148" s="2" t="inlineStr">
        <is>
          <t>18.40 – 21.59 %</t>
        </is>
      </c>
      <c r="Z148" s="2" t="inlineStr">
        <is>
          <t>CJ_THC20 : CBD1</t>
        </is>
      </c>
      <c r="AA148" s="2" t="inlineStr">
        <is>
          <t>QCSP_001_CJ-III_v.01</t>
        </is>
      </c>
      <c r="AB148" s="8" t="inlineStr">
        <is>
          <t>for review — replaces the issued QCSP_001_CJ-III_v.01 (was CJ_THC24 : CBD1, 23.00 – 25.00 %); now CJ_THC20 : CBD1 18.40 – 21.59 %</t>
        </is>
      </c>
      <c r="AC148" s="11" t="inlineStr"/>
    </row>
    <row r="149">
      <c r="A149" s="2">
        <f>IF(C149="yes",COUNT(A$1:A148)+1,"")</f>
        <v/>
      </c>
      <c r="B149" s="3">
        <f>IF(A149&lt;&gt;"","CoQ-PP_26-"&amp;TEXT(A149,"000"),"— at issue —")</f>
        <v/>
      </c>
      <c r="C149" s="6" t="inlineStr">
        <is>
          <t>no</t>
        </is>
      </c>
      <c r="D149" s="5">
        <f>IF(A149="","",MAX(E149,IF(ISNUMBER(I149),I149,0),IFERROR(IF(ISNUMBER(INDEX('iCoA Register'!$F:$F,MATCH(S149,'iCoA Register'!$AA:$AA,0))),INDEX('iCoA Register'!$F:$F,MATCH(S149,'iCoA Register'!$AA:$AA,0)),0),0)))</f>
        <v/>
      </c>
      <c r="E149" s="5">
        <f>IF(ISNUMBER(F149),MAX(DATE(2026,6,6),F149+7),"— awaiting the retest certificates —")</f>
        <v/>
      </c>
      <c r="F149" s="5" t="n">
        <v>46276</v>
      </c>
      <c r="G149" s="2" t="inlineStr">
        <is>
          <t>227-1-K-26</t>
        </is>
      </c>
      <c r="H149" s="2">
        <f>IFERROR(INDEX('iCoA Register'!$B:$B,MATCH("P050142|R",'iCoA Register'!$AA:$AA,0)),"—")</f>
        <v/>
      </c>
      <c r="I149" s="5">
        <f>IFERROR(INDEX('iCoA Register'!$D:$D,MATCH("P050142|R",'iCoA Register'!$AA:$AA,0)),"")</f>
        <v/>
      </c>
      <c r="J149" s="2" t="inlineStr">
        <is>
          <t>legacy</t>
        </is>
      </c>
      <c r="K149" s="2" t="inlineStr">
        <is>
          <t>retest — Tranche 3 (sampled 19–21.08.2026)</t>
        </is>
      </c>
      <c r="L149" s="3" t="inlineStr">
        <is>
          <t>BSS1024_01/2</t>
        </is>
      </c>
      <c r="M149" s="2" t="inlineStr">
        <is>
          <t>P050142</t>
        </is>
      </c>
      <c r="N149" s="2" t="inlineStr">
        <is>
          <t>Blue Sunset Sherbet</t>
        </is>
      </c>
      <c r="O149" s="2" t="inlineStr">
        <is>
          <t>227-1-K-26, (11.09.2026) [FHM-K]</t>
        </is>
      </c>
      <c r="P149" s="6" t="inlineStr">
        <is>
          <t>—</t>
        </is>
      </c>
      <c r="Q149" s="2" t="inlineStr">
        <is>
          <t>—</t>
        </is>
      </c>
      <c r="R149" s="2" t="inlineStr">
        <is>
          <t>CoQ reissue (assigned on issue)</t>
        </is>
      </c>
      <c r="S149" s="2" t="inlineStr">
        <is>
          <t>P050142|R</t>
        </is>
      </c>
      <c r="T149" s="8" t="inlineStr">
        <is>
          <t>not yet issuable — sampled — retest assay on file, mycotoxins pending; iCoA tested 19.08.2026, issued 24.08.2026 · issued 7 days after the latest retest certificate once the assay, the mycotoxins and the iCoA exist</t>
        </is>
      </c>
      <c r="U149" s="2">
        <f>IFERROR(INDEX('CoQ Register'!$B:$B,MATCH("P050142|I",'CoQ Register'!$S:$S,0)),"— initial certificate not on the register —")</f>
        <v/>
      </c>
      <c r="V149" s="10" t="n">
        <v>26.69</v>
      </c>
      <c r="W149" s="2" t="inlineStr">
        <is>
          <t>227-1-К/26</t>
        </is>
      </c>
      <c r="X149" s="2" t="inlineStr">
        <is>
          <t>28.00 ± 1.93 (I)</t>
        </is>
      </c>
      <c r="Y149" s="2" t="inlineStr">
        <is>
          <t>26.07 – 29.92 %</t>
        </is>
      </c>
      <c r="Z149" s="2" t="inlineStr">
        <is>
          <t>BSS_THC28 : CBD1</t>
        </is>
      </c>
      <c r="AA149" s="2" t="inlineStr">
        <is>
          <t>QCSP_001_BSS-I_v.01</t>
        </is>
      </c>
      <c r="AB149" s="8" t="inlineStr">
        <is>
          <t>for review — replaces the issued QCSP_001_BSS-I_v.01 (was BSS_THC24 : CBD1, 22.01 – 25.99 %); now BSS_THC28 : CBD1 26.07 – 29.92 %</t>
        </is>
      </c>
      <c r="AC149" s="11" t="inlineStr"/>
    </row>
    <row r="150">
      <c r="A150" s="2">
        <f>IF(C150="yes",COUNT(A$1:A149)+1,"")</f>
        <v/>
      </c>
      <c r="B150" s="3">
        <f>IF(A150&lt;&gt;"","CoQ-PP_26-"&amp;TEXT(A150,"000"),"— at issue —")</f>
        <v/>
      </c>
      <c r="C150" s="6" t="inlineStr">
        <is>
          <t>no</t>
        </is>
      </c>
      <c r="D150" s="5">
        <f>IF(A150="","",MAX(E150,IF(ISNUMBER(I150),I150,0),IFERROR(IF(ISNUMBER(INDEX('iCoA Register'!$F:$F,MATCH(S150,'iCoA Register'!$AA:$AA,0))),INDEX('iCoA Register'!$F:$F,MATCH(S150,'iCoA Register'!$AA:$AA,0)),0),0)))</f>
        <v/>
      </c>
      <c r="E150" s="5">
        <f>IF(ISNUMBER(F150),MAX(DATE(2026,6,6),F150+7),"— awaiting the retest certificates —")</f>
        <v/>
      </c>
      <c r="F150" s="5" t="n">
        <v>46276</v>
      </c>
      <c r="G150" s="2" t="inlineStr">
        <is>
          <t>227-27-K-26</t>
        </is>
      </c>
      <c r="H150" s="2">
        <f>IFERROR(INDEX('iCoA Register'!$B:$B,MATCH("P050252|R",'iCoA Register'!$AA:$AA,0)),"—")</f>
        <v/>
      </c>
      <c r="I150" s="5">
        <f>IFERROR(INDEX('iCoA Register'!$D:$D,MATCH("P050252|R",'iCoA Register'!$AA:$AA,0)),"")</f>
        <v/>
      </c>
      <c r="J150" s="2" t="inlineStr">
        <is>
          <t>legacy</t>
        </is>
      </c>
      <c r="K150" s="2" t="inlineStr">
        <is>
          <t>retest — Tranche 3 (sampled 19–21.08.2026)</t>
        </is>
      </c>
      <c r="L150" s="3" t="inlineStr">
        <is>
          <t>CJ072501</t>
        </is>
      </c>
      <c r="M150" s="2" t="inlineStr">
        <is>
          <t>P050252</t>
        </is>
      </c>
      <c r="N150" s="2" t="inlineStr">
        <is>
          <t>Cap Junky</t>
        </is>
      </c>
      <c r="O150" s="2" t="inlineStr">
        <is>
          <t>227-27-K-26, (11.09.2026) [FHM-K]</t>
        </is>
      </c>
      <c r="P150" s="6" t="inlineStr">
        <is>
          <t>—</t>
        </is>
      </c>
      <c r="Q150" s="2" t="inlineStr">
        <is>
          <t>—</t>
        </is>
      </c>
      <c r="R150" s="2" t="inlineStr">
        <is>
          <t>CoQ reissue (assigned on issue)</t>
        </is>
      </c>
      <c r="S150" s="2" t="inlineStr">
        <is>
          <t>P050252|R</t>
        </is>
      </c>
      <c r="T150" s="8" t="inlineStr">
        <is>
          <t>not yet issuable — sampled — retest assay on file, mycotoxins pending; iCoA tested 21.08.2026, issued 24.08.2026 · issued 7 days after the latest retest certificate once the assay, the mycotoxins and the iCoA exist</t>
        </is>
      </c>
      <c r="U150" s="2">
        <f>IFERROR(INDEX('CoQ Register'!$B:$B,MATCH("P050252|I",'CoQ Register'!$S:$S,0)),"— initial certificate not on the register —")</f>
        <v/>
      </c>
      <c r="V150" s="10" t="n">
        <v>28.18</v>
      </c>
      <c r="W150" s="2" t="inlineStr">
        <is>
          <t>227-27-К/26</t>
        </is>
      </c>
      <c r="X150" s="2" t="inlineStr">
        <is>
          <t>28.00 ± 1.60 (I)</t>
        </is>
      </c>
      <c r="Y150" s="2" t="inlineStr">
        <is>
          <t>26.40 – 29.59 %</t>
        </is>
      </c>
      <c r="Z150" s="2" t="inlineStr">
        <is>
          <t>CJ_THC28 : CBD1</t>
        </is>
      </c>
      <c r="AA150" s="2" t="inlineStr">
        <is>
          <t>QCSP_001_CJ-I_v.01</t>
        </is>
      </c>
      <c r="AB150" s="8" t="inlineStr">
        <is>
          <t>for review — replaces the issued QCSP_001_CJ-I_v.01 (was CJ_THC28 : CBD1, 27.00 – 29.00 %); now CJ_THC28 : CBD1 26.40 – 29.59 %</t>
        </is>
      </c>
      <c r="AC150" s="11" t="inlineStr"/>
    </row>
    <row r="151">
      <c r="A151" s="2">
        <f>IF(C151="yes",COUNT(A$1:A150)+1,"")</f>
        <v/>
      </c>
      <c r="B151" s="3">
        <f>IF(A151&lt;&gt;"","CoQ-PP_26-"&amp;TEXT(A151,"000"),"— at issue —")</f>
        <v/>
      </c>
      <c r="C151" s="6" t="inlineStr">
        <is>
          <t>no</t>
        </is>
      </c>
      <c r="D151" s="5">
        <f>IF(A151="","",MAX(E151,IF(ISNUMBER(I151),I151,0),IFERROR(IF(ISNUMBER(INDEX('iCoA Register'!$F:$F,MATCH(S151,'iCoA Register'!$AA:$AA,0))),INDEX('iCoA Register'!$F:$F,MATCH(S151,'iCoA Register'!$AA:$AA,0)),0),0)))</f>
        <v/>
      </c>
      <c r="E151" s="5">
        <f>IF(ISNUMBER(F151),MAX(DATE(2026,6,6),F151+7),"— awaiting the retest certificates —")</f>
        <v/>
      </c>
      <c r="F151" s="5" t="n">
        <v>46276</v>
      </c>
      <c r="G151" s="2" t="inlineStr">
        <is>
          <t>227-3-K-26</t>
        </is>
      </c>
      <c r="H151" s="2">
        <f>IFERROR(INDEX('iCoA Register'!$B:$B,MATCH("P050262|R",'iCoA Register'!$AA:$AA,0)),"—")</f>
        <v/>
      </c>
      <c r="I151" s="5">
        <f>IFERROR(INDEX('iCoA Register'!$D:$D,MATCH("P050262|R",'iCoA Register'!$AA:$AA,0)),"")</f>
        <v/>
      </c>
      <c r="J151" s="2" t="inlineStr">
        <is>
          <t>legacy</t>
        </is>
      </c>
      <c r="K151" s="2" t="inlineStr">
        <is>
          <t>retest — Tranche 3 (sampled 19–21.08.2026)</t>
        </is>
      </c>
      <c r="L151" s="3" t="inlineStr">
        <is>
          <t>WC072501</t>
        </is>
      </c>
      <c r="M151" s="2" t="inlineStr">
        <is>
          <t>P050262</t>
        </is>
      </c>
      <c r="N151" s="2" t="inlineStr">
        <is>
          <t>Wedding Crusher</t>
        </is>
      </c>
      <c r="O151" s="2" t="inlineStr">
        <is>
          <t>227-3-K-26, (11.09.2026) [FHM-K]</t>
        </is>
      </c>
      <c r="P151" s="6" t="inlineStr">
        <is>
          <t>—</t>
        </is>
      </c>
      <c r="Q151" s="2" t="inlineStr">
        <is>
          <t>—</t>
        </is>
      </c>
      <c r="R151" s="2" t="inlineStr">
        <is>
          <t>CoQ reissue (assigned on issue)</t>
        </is>
      </c>
      <c r="S151" s="2" t="inlineStr">
        <is>
          <t>P050262|R</t>
        </is>
      </c>
      <c r="T151" s="8" t="inlineStr">
        <is>
          <t>not yet issuable — sampled — retest assay on file, mycotoxins pending; iCoA tested 19.08.2026, issued 24.08.2026 · issued 7 days after the latest retest certificate once the assay, the mycotoxins and the iCoA exist</t>
        </is>
      </c>
      <c r="U151" s="2">
        <f>IFERROR(INDEX('CoQ Register'!$B:$B,MATCH("P050262|I",'CoQ Register'!$S:$S,0)),"— initial certificate not on the register —")</f>
        <v/>
      </c>
      <c r="V151" s="10" t="n">
        <v>25.37</v>
      </c>
      <c r="W151" s="2" t="inlineStr">
        <is>
          <t>227-3-К/26</t>
        </is>
      </c>
      <c r="X151" s="2" t="inlineStr">
        <is>
          <t>26.00 ± 2.60 (I)</t>
        </is>
      </c>
      <c r="Y151" s="2" t="inlineStr">
        <is>
          <t>23.40 – 28.59 %</t>
        </is>
      </c>
      <c r="Z151" s="2" t="inlineStr">
        <is>
          <t>WC_THC26 : CBD1</t>
        </is>
      </c>
      <c r="AA151" s="2" t="inlineStr">
        <is>
          <t>QCSP_001_WC-I_v.01</t>
        </is>
      </c>
      <c r="AB151" s="8" t="inlineStr">
        <is>
          <t>for review — replaces the issued QCSP_001_WC-I_v.01 (was WC_THC22 : CBD1, 19.80 – 24.20 %); now WC_THC26 : CBD1 23.40 – 28.59 %</t>
        </is>
      </c>
      <c r="AC151" s="11" t="inlineStr"/>
    </row>
    <row r="152">
      <c r="A152" s="2">
        <f>IF(C152="yes",COUNT(A$1:A151)+1,"")</f>
        <v/>
      </c>
      <c r="B152" s="3">
        <f>IF(A152&lt;&gt;"","CoQ-PP_26-"&amp;TEXT(A152,"000"),"— at issue —")</f>
        <v/>
      </c>
      <c r="C152" s="6" t="inlineStr">
        <is>
          <t>no</t>
        </is>
      </c>
      <c r="D152" s="5">
        <f>IF(A152="","",MAX(E152,IF(ISNUMBER(I152),I152,0),IFERROR(IF(ISNUMBER(INDEX('iCoA Register'!$F:$F,MATCH(S152,'iCoA Register'!$AA:$AA,0))),INDEX('iCoA Register'!$F:$F,MATCH(S152,'iCoA Register'!$AA:$AA,0)),0),0)))</f>
        <v/>
      </c>
      <c r="E152" s="5">
        <f>IF(ISNUMBER(F152),MAX(DATE(2026,6,6),F152+7),"— awaiting the retest certificates —")</f>
        <v/>
      </c>
      <c r="F152" s="5" t="n">
        <v>46276</v>
      </c>
      <c r="G152" s="2" t="inlineStr">
        <is>
          <t>227-17-K-26</t>
        </is>
      </c>
      <c r="H152" s="2">
        <f>IFERROR(INDEX('iCoA Register'!$B:$B,MATCH("P050292|R",'iCoA Register'!$AA:$AA,0)),"—")</f>
        <v/>
      </c>
      <c r="I152" s="5">
        <f>IFERROR(INDEX('iCoA Register'!$D:$D,MATCH("P050292|R",'iCoA Register'!$AA:$AA,0)),"")</f>
        <v/>
      </c>
      <c r="J152" s="2" t="inlineStr">
        <is>
          <t>legacy</t>
        </is>
      </c>
      <c r="K152" s="2" t="inlineStr">
        <is>
          <t>retest — Tranche 3 (sampled 19–21.08.2026)</t>
        </is>
      </c>
      <c r="L152" s="3" t="inlineStr">
        <is>
          <t>GP072501/1</t>
        </is>
      </c>
      <c r="M152" s="2" t="inlineStr">
        <is>
          <t>P050292</t>
        </is>
      </c>
      <c r="N152" s="2" t="inlineStr">
        <is>
          <t>Grape Pie</t>
        </is>
      </c>
      <c r="O152" s="2" t="inlineStr">
        <is>
          <t>227-17-K-26, (11.09.2026) [FHM-K]</t>
        </is>
      </c>
      <c r="P152" s="6" t="inlineStr">
        <is>
          <t>—</t>
        </is>
      </c>
      <c r="Q152" s="2" t="inlineStr">
        <is>
          <t>—</t>
        </is>
      </c>
      <c r="R152" s="2" t="inlineStr">
        <is>
          <t>CoQ reissue (assigned on issue)</t>
        </is>
      </c>
      <c r="S152" s="2" t="inlineStr">
        <is>
          <t>P050292|R</t>
        </is>
      </c>
      <c r="T152" s="8" t="inlineStr">
        <is>
          <t>not yet issuable — sampled — retest assay on file, mycotoxins pending; iCoA tested 20.08.2026, issued 24.08.2026 · issued 7 days after the latest retest certificate once the assay, the mycotoxins and the iCoA exist</t>
        </is>
      </c>
      <c r="U152" s="2">
        <f>IFERROR(INDEX('CoQ Register'!$B:$B,MATCH("P050292|I",'CoQ Register'!$S:$S,0)),"— initial certificate not on the register —")</f>
        <v/>
      </c>
      <c r="V152" s="10" t="n">
        <v>26.54</v>
      </c>
      <c r="W152" s="2" t="inlineStr">
        <is>
          <t>227-17-К/26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IF(C153="yes",COUNT(A$1:A152)+1,"")</f>
        <v/>
      </c>
      <c r="B153" s="3">
        <f>IF(A153&lt;&gt;"","CoQ-PP_26-"&amp;TEXT(A153,"000"),"— at issue —")</f>
        <v/>
      </c>
      <c r="C153" s="6" t="inlineStr">
        <is>
          <t>no</t>
        </is>
      </c>
      <c r="D153" s="5">
        <f>IF(A153="","",MAX(E153,IF(ISNUMBER(I153),I153,0),IFERROR(IF(ISNUMBER(INDEX('iCoA Register'!$F:$F,MATCH(S153,'iCoA Register'!$AA:$AA,0))),INDEX('iCoA Register'!$F:$F,MATCH(S153,'iCoA Register'!$AA:$AA,0)),0),0)))</f>
        <v/>
      </c>
      <c r="E153" s="5">
        <f>IF(ISNUMBER(F153),MAX(DATE(2026,6,6),F153+7),"— awaiting the retest certificates —")</f>
        <v/>
      </c>
      <c r="F153" s="5" t="n">
        <v>46276</v>
      </c>
      <c r="G153" s="2" t="inlineStr">
        <is>
          <t>227-9-K-26</t>
        </is>
      </c>
      <c r="H153" s="2">
        <f>IFERROR(INDEX('iCoA Register'!$B:$B,MATCH("P050272|R",'iCoA Register'!$AA:$AA,0)),"—")</f>
        <v/>
      </c>
      <c r="I153" s="5">
        <f>IFERROR(INDEX('iCoA Register'!$D:$D,MATCH("P050272|R",'iCoA Register'!$AA:$AA,0)),"")</f>
        <v/>
      </c>
      <c r="J153" s="2" t="inlineStr">
        <is>
          <t>legacy</t>
        </is>
      </c>
      <c r="K153" s="2" t="inlineStr">
        <is>
          <t>retest — Tranche 3 (sampled 19–21.08.2026)</t>
        </is>
      </c>
      <c r="L153" s="3" t="inlineStr">
        <is>
          <t>PM072501</t>
        </is>
      </c>
      <c r="M153" s="2" t="inlineStr">
        <is>
          <t>P050272</t>
        </is>
      </c>
      <c r="N153" s="2" t="inlineStr">
        <is>
          <t>Permanent Marker</t>
        </is>
      </c>
      <c r="O153" s="2" t="inlineStr">
        <is>
          <t>227-9-K-26, (11.09.2026) [FHM-K]</t>
        </is>
      </c>
      <c r="P153" s="6" t="inlineStr">
        <is>
          <t>—</t>
        </is>
      </c>
      <c r="Q153" s="2" t="inlineStr">
        <is>
          <t>—</t>
        </is>
      </c>
      <c r="R153" s="2" t="inlineStr">
        <is>
          <t>CoQ reissue (assigned on issue)</t>
        </is>
      </c>
      <c r="S153" s="2" t="inlineStr">
        <is>
          <t>P050272|R</t>
        </is>
      </c>
      <c r="T153" s="8" t="inlineStr">
        <is>
          <t>not yet issuable — sampled — retest assay on file, mycotoxins pending; iCoA tested 19.08.2026, issued 24.08.2026 · issued 7 days after the latest retest certificate once the assay, the mycotoxins and the iCoA exist</t>
        </is>
      </c>
      <c r="U153" s="2">
        <f>IFERROR(INDEX('CoQ Register'!$B:$B,MATCH("P050272|I",'CoQ Register'!$S:$S,0)),"— initial certificate not on the register —")</f>
        <v/>
      </c>
      <c r="V153" s="10" t="n">
        <v>12.77</v>
      </c>
      <c r="W153" s="2" t="inlineStr">
        <is>
          <t>227-9-К/26</t>
        </is>
      </c>
      <c r="X153" s="2" t="inlineStr">
        <is>
          <t>12.00 ± 1.00 (II)</t>
        </is>
      </c>
      <c r="Y153" s="2" t="inlineStr">
        <is>
          <t>11.00 – 12.99 %</t>
        </is>
      </c>
      <c r="Z153" s="2" t="inlineStr">
        <is>
          <t>PM_THC12 : CBD1</t>
        </is>
      </c>
      <c r="AA153" s="2" t="inlineStr">
        <is>
          <t>QCSP_001_PM-II_v.01</t>
        </is>
      </c>
      <c r="AB153" s="8" t="inlineStr">
        <is>
          <t>for review — replaces the issued QCSP_001_PM-II_v.01 (was PM_THC10 : CBD1, 9.00 – 11.00 %); now PM_THC12 : CBD1 11.00 – 12.99 %</t>
        </is>
      </c>
      <c r="AC153" s="11" t="inlineStr"/>
    </row>
    <row r="154">
      <c r="A154" s="2">
        <f>IF(C154="yes",COUNT(A$1:A153)+1,"")</f>
        <v/>
      </c>
      <c r="B154" s="3">
        <f>IF(A154&lt;&gt;"","CoQ-PP_26-"&amp;TEXT(A154,"000"),"— at issue —")</f>
        <v/>
      </c>
      <c r="C154" s="6" t="inlineStr">
        <is>
          <t>no</t>
        </is>
      </c>
      <c r="D154" s="5">
        <f>IF(A154="","",MAX(E154,IF(ISNUMBER(I154),I154,0),IFERROR(IF(ISNUMBER(INDEX('iCoA Register'!$F:$F,MATCH(S154,'iCoA Register'!$AA:$AA,0))),INDEX('iCoA Register'!$F:$F,MATCH(S154,'iCoA Register'!$AA:$AA,0)),0),0)))</f>
        <v/>
      </c>
      <c r="E154" s="5">
        <f>IF(ISNUMBER(F154),MAX(DATE(2026,6,6),F154+7),"— awaiting the retest certificates —")</f>
        <v/>
      </c>
      <c r="F154" s="5" t="n">
        <v>46276</v>
      </c>
      <c r="G154" s="2" t="inlineStr">
        <is>
          <t>227-4-K-26</t>
        </is>
      </c>
      <c r="H154" s="2">
        <f>IFERROR(INDEX('iCoA Register'!$B:$B,MATCH("P060102|R",'iCoA Register'!$AA:$AA,0)),"—")</f>
        <v/>
      </c>
      <c r="I154" s="5">
        <f>IFERROR(INDEX('iCoA Register'!$D:$D,MATCH("P060102|R",'iCoA Register'!$AA:$AA,0)),"")</f>
        <v/>
      </c>
      <c r="J154" s="2" t="inlineStr">
        <is>
          <t>legacy</t>
        </is>
      </c>
      <c r="K154" s="2" t="inlineStr">
        <is>
          <t>retest — Tranche 3 (sampled 19–21.08.2026)</t>
        </is>
      </c>
      <c r="L154" s="3" t="inlineStr">
        <is>
          <t>WED102501</t>
        </is>
      </c>
      <c r="M154" s="2" t="inlineStr">
        <is>
          <t>P060102</t>
        </is>
      </c>
      <c r="N154" s="2" t="inlineStr">
        <is>
          <t>Wedding Cake</t>
        </is>
      </c>
      <c r="O154" s="2" t="inlineStr">
        <is>
          <t>227-4-K-26, (11.09.2026) [FHM-K]</t>
        </is>
      </c>
      <c r="P154" s="6" t="inlineStr">
        <is>
          <t>—</t>
        </is>
      </c>
      <c r="Q154" s="2" t="inlineStr">
        <is>
          <t>—</t>
        </is>
      </c>
      <c r="R154" s="2" t="inlineStr">
        <is>
          <t>CoQ reissue (assigned on issue)</t>
        </is>
      </c>
      <c r="S154" s="2" t="inlineStr">
        <is>
          <t>P060102|R</t>
        </is>
      </c>
      <c r="T154" s="8" t="inlineStr">
        <is>
          <t>not yet issuable — sampled — retest assay on file, mycotoxins pending; iCoA tested 19.08.2026, issued 24.08.2026 · issued 7 days after the latest retest certificate once the assay, the mycotoxins and the iCoA exist</t>
        </is>
      </c>
      <c r="U154" s="2">
        <f>IFERROR(INDEX('CoQ Register'!$B:$B,MATCH("P060102|I",'CoQ Register'!$S:$S,0)),"— initial certificate not on the register —")</f>
        <v/>
      </c>
      <c r="V154" s="10" t="n">
        <v>25.15</v>
      </c>
      <c r="W154" s="2" t="inlineStr">
        <is>
          <t>227-4-К/26</t>
        </is>
      </c>
      <c r="X154" s="2" t="inlineStr">
        <is>
          <t>—</t>
        </is>
      </c>
      <c r="Y154" s="2" t="inlineStr">
        <is>
          <t>—</t>
        </is>
      </c>
      <c r="Z154" s="2" t="inlineStr">
        <is>
          <t>—</t>
        </is>
      </c>
      <c r="AA154" s="2" t="inlineStr">
        <is>
          <t>—</t>
        </is>
      </c>
      <c r="AB154" s="11" t="inlineStr">
        <is>
          <t>—</t>
        </is>
      </c>
      <c r="AC154" s="8" t="inlineStr">
        <is>
          <t>strain not in the potency specification of 15.09.2026</t>
        </is>
      </c>
    </row>
    <row r="155">
      <c r="A155" s="2">
        <f>IF(C155="yes",COUNT(A$1:A154)+1,"")</f>
        <v/>
      </c>
      <c r="B155" s="3">
        <f>IF(A155&lt;&gt;"","CoQ-PP_26-"&amp;TEXT(A155,"000"),"— at issue —")</f>
        <v/>
      </c>
      <c r="C155" s="6" t="inlineStr">
        <is>
          <t>no</t>
        </is>
      </c>
      <c r="D155" s="5">
        <f>IF(A155="","",MAX(E155,IF(ISNUMBER(I155),I155,0),IFERROR(IF(ISNUMBER(INDEX('iCoA Register'!$F:$F,MATCH(S155,'iCoA Register'!$AA:$AA,0))),INDEX('iCoA Register'!$F:$F,MATCH(S155,'iCoA Register'!$AA:$AA,0)),0),0)))</f>
        <v/>
      </c>
      <c r="E155" s="5">
        <f>IF(ISNUMBER(F155),MAX(DATE(2026,6,6),F155+7),"— awaiting the retest certificates —")</f>
        <v/>
      </c>
      <c r="F155" s="5" t="n">
        <v>46276</v>
      </c>
      <c r="G155" s="2" t="inlineStr">
        <is>
          <t>227-30-K-26</t>
        </is>
      </c>
      <c r="H155" s="2">
        <f>IFERROR(INDEX('iCoA Register'!$B:$B,MATCH("P060052|R",'iCoA Register'!$AA:$AA,0)),"—")</f>
        <v/>
      </c>
      <c r="I155" s="5">
        <f>IFERROR(INDEX('iCoA Register'!$D:$D,MATCH("P060052|R",'iCoA Register'!$AA:$AA,0)),"")</f>
        <v/>
      </c>
      <c r="J155" s="2" t="inlineStr">
        <is>
          <t>legacy</t>
        </is>
      </c>
      <c r="K155" s="2" t="inlineStr">
        <is>
          <t>retest — Tranche 3 (sampled 19–21.08.2026)</t>
        </is>
      </c>
      <c r="L155" s="3" t="inlineStr">
        <is>
          <t>AB092501</t>
        </is>
      </c>
      <c r="M155" s="2" t="inlineStr">
        <is>
          <t>P060052</t>
        </is>
      </c>
      <c r="N155" s="2" t="inlineStr">
        <is>
          <t>Apple and Banana</t>
        </is>
      </c>
      <c r="O155" s="2" t="inlineStr">
        <is>
          <t>227-30-K-26, (11.09.2026) [FHM-K]</t>
        </is>
      </c>
      <c r="P155" s="6" t="inlineStr">
        <is>
          <t>—</t>
        </is>
      </c>
      <c r="Q155" s="2" t="inlineStr">
        <is>
          <t>—</t>
        </is>
      </c>
      <c r="R155" s="2" t="inlineStr">
        <is>
          <t>CoQ reissue (assigned on issue)</t>
        </is>
      </c>
      <c r="S155" s="2" t="inlineStr">
        <is>
          <t>P060052|R</t>
        </is>
      </c>
      <c r="T155" s="8" t="inlineStr">
        <is>
          <t>not yet issuable — sampled — retest assay on file, mycotoxins pending; iCoA tested 21.08.2026, issued 24.08.2026 · issued 7 days after the latest retest certificate once the assay, the mycotoxins and the iCoA exist</t>
        </is>
      </c>
      <c r="U155" s="2">
        <f>IFERROR(INDEX('CoQ Register'!$B:$B,MATCH("P060052|I",'CoQ Register'!$S:$S,0)),"— initial certificate not on the register —")</f>
        <v/>
      </c>
      <c r="V155" s="10" t="n">
        <v>22.97</v>
      </c>
      <c r="W155" s="2" t="inlineStr">
        <is>
          <t>227-30-К/26</t>
        </is>
      </c>
      <c r="X155" s="2" t="inlineStr">
        <is>
          <t>22.00 ± 2.20 (I)</t>
        </is>
      </c>
      <c r="Y155" s="2" t="inlineStr">
        <is>
          <t>19.80 – 24.19 %</t>
        </is>
      </c>
      <c r="Z155" s="2" t="inlineStr">
        <is>
          <t>AB_THC22 : CBD1</t>
        </is>
      </c>
      <c r="AA155" s="2" t="inlineStr">
        <is>
          <t>QCSP_001_AB-I_v.01</t>
        </is>
      </c>
      <c r="AB155" s="11" t="inlineStr">
        <is>
          <t>for review — new</t>
        </is>
      </c>
      <c r="AC155" s="11" t="inlineStr"/>
    </row>
    <row r="156">
      <c r="A156" s="2">
        <f>IF(C156="yes",COUNT(A$1:A155)+1,"")</f>
        <v/>
      </c>
      <c r="B156" s="3">
        <f>IF(A156&lt;&gt;"","CoQ-PP_26-"&amp;TEXT(A156,"000"),"— at issue —")</f>
        <v/>
      </c>
      <c r="C156" s="6" t="inlineStr">
        <is>
          <t>no</t>
        </is>
      </c>
      <c r="D156" s="5">
        <f>IF(A156="","",MAX(E156,IF(ISNUMBER(I156),I156,0),IFERROR(IF(ISNUMBER(INDEX('iCoA Register'!$F:$F,MATCH(S156,'iCoA Register'!$AA:$AA,0))),INDEX('iCoA Register'!$F:$F,MATCH(S156,'iCoA Register'!$AA:$AA,0)),0),0)))</f>
        <v/>
      </c>
      <c r="E156" s="5">
        <f>IF(ISNUMBER(F156),MAX(DATE(2026,6,6),F156+7),"— awaiting the retest certificates —")</f>
        <v/>
      </c>
      <c r="F156" s="5" t="n">
        <v>46276</v>
      </c>
      <c r="G156" s="2" t="inlineStr">
        <is>
          <t>227-16-K-26</t>
        </is>
      </c>
      <c r="H156" s="2">
        <f>IFERROR(INDEX('iCoA Register'!$B:$B,MATCH("P060142|R",'iCoA Register'!$AA:$AA,0)),"—")</f>
        <v/>
      </c>
      <c r="I156" s="5">
        <f>IFERROR(INDEX('iCoA Register'!$D:$D,MATCH("P060142|R",'iCoA Register'!$AA:$AA,0)),"")</f>
        <v/>
      </c>
      <c r="J156" s="2" t="inlineStr">
        <is>
          <t>legacy</t>
        </is>
      </c>
      <c r="K156" s="2" t="inlineStr">
        <is>
          <t>retest — Tranche 3 (sampled 19–21.08.2026)</t>
        </is>
      </c>
      <c r="L156" s="3" t="inlineStr">
        <is>
          <t>GRC102501</t>
        </is>
      </c>
      <c r="M156" s="2" t="inlineStr">
        <is>
          <t>P060142</t>
        </is>
      </c>
      <c r="N156" s="2" t="inlineStr">
        <is>
          <t>Graps &amp; Creme</t>
        </is>
      </c>
      <c r="O156" s="2" t="inlineStr">
        <is>
          <t>227-16-K-26, (11.09.2026) [FHM-K]</t>
        </is>
      </c>
      <c r="P156" s="6" t="inlineStr">
        <is>
          <t>—</t>
        </is>
      </c>
      <c r="Q156" s="2" t="inlineStr">
        <is>
          <t>—</t>
        </is>
      </c>
      <c r="R156" s="2" t="inlineStr">
        <is>
          <t>CoQ reissue (assigned on issue)</t>
        </is>
      </c>
      <c r="S156" s="2" t="inlineStr">
        <is>
          <t>P060142|R</t>
        </is>
      </c>
      <c r="T156" s="8" t="inlineStr">
        <is>
          <t>not yet issuable — sampled — retest assay on file, mycotoxins pending; iCoA tested 20.08.2026, issued 24.08.2026 · issued 7 days after the latest retest certificate once the assay, the mycotoxins and the iCoA exist</t>
        </is>
      </c>
      <c r="U156" s="2">
        <f>IFERROR(INDEX('CoQ Register'!$B:$B,MATCH("P060142|I",'CoQ Register'!$S:$S,0)),"— initial certificate not on the register —")</f>
        <v/>
      </c>
      <c r="V156" s="10" t="n">
        <v>7.5</v>
      </c>
      <c r="W156" s="2" t="inlineStr">
        <is>
          <t>227-16-К/26</t>
        </is>
      </c>
      <c r="X156" s="2" t="inlineStr">
        <is>
          <t>8.00 ± 0.80 (III)</t>
        </is>
      </c>
      <c r="Y156" s="2" t="inlineStr">
        <is>
          <t>7.20 – 8.79 %</t>
        </is>
      </c>
      <c r="Z156" s="2" t="inlineStr">
        <is>
          <t>GRC_THC8 : CBD1</t>
        </is>
      </c>
      <c r="AA156" s="2" t="inlineStr">
        <is>
          <t>QCSP_001_GRC-III_v.01</t>
        </is>
      </c>
      <c r="AB156" s="11" t="inlineStr">
        <is>
          <t>for review — new</t>
        </is>
      </c>
      <c r="AC156" s="11" t="inlineStr"/>
    </row>
    <row r="157">
      <c r="A157" s="2">
        <f>IF(C157="yes",COUNT(A$1:A156)+1,"")</f>
        <v/>
      </c>
      <c r="B157" s="3">
        <f>IF(A157&lt;&gt;"","CoQ-PP_26-"&amp;TEXT(A157,"000"),"— at issue —")</f>
        <v/>
      </c>
      <c r="C157" s="6" t="inlineStr">
        <is>
          <t>no</t>
        </is>
      </c>
      <c r="D157" s="5">
        <f>IF(A157="","",MAX(E157,IF(ISNUMBER(I157),I157,0),IFERROR(IF(ISNUMBER(INDEX('iCoA Register'!$F:$F,MATCH(S157,'iCoA Register'!$AA:$AA,0))),INDEX('iCoA Register'!$F:$F,MATCH(S157,'iCoA Register'!$AA:$AA,0)),0),0)))</f>
        <v/>
      </c>
      <c r="E157" s="5">
        <f>IF(ISNUMBER(F157),MAX(DATE(2026,6,6),F157+7),"— awaiting the retest certificates —")</f>
        <v/>
      </c>
      <c r="F157" s="5" t="n">
        <v>46276</v>
      </c>
      <c r="G157" s="2" t="inlineStr">
        <is>
          <t>227-6-K-26</t>
        </is>
      </c>
      <c r="H157" s="2">
        <f>IFERROR(INDEX('iCoA Register'!$B:$B,MATCH("P060162|R",'iCoA Register'!$AA:$AA,0)),"—")</f>
        <v/>
      </c>
      <c r="I157" s="5">
        <f>IFERROR(INDEX('iCoA Register'!$D:$D,MATCH("P060162|R",'iCoA Register'!$AA:$AA,0)),"")</f>
        <v/>
      </c>
      <c r="J157" s="2" t="inlineStr">
        <is>
          <t>legacy</t>
        </is>
      </c>
      <c r="K157" s="2" t="inlineStr">
        <is>
          <t>retest — Tranche 3 (sampled 19–21.08.2026)</t>
        </is>
      </c>
      <c r="L157" s="3" t="inlineStr">
        <is>
          <t>SJ102501</t>
        </is>
      </c>
      <c r="M157" s="2" t="inlineStr">
        <is>
          <t>P060162</t>
        </is>
      </c>
      <c r="N157" s="2" t="inlineStr">
        <is>
          <t>Sleepy Joe</t>
        </is>
      </c>
      <c r="O157" s="2" t="inlineStr">
        <is>
          <t>227-6-K-26, (11.09.2026) [FHM-K]</t>
        </is>
      </c>
      <c r="P157" s="6" t="inlineStr">
        <is>
          <t>—</t>
        </is>
      </c>
      <c r="Q157" s="2" t="inlineStr">
        <is>
          <t>—</t>
        </is>
      </c>
      <c r="R157" s="2" t="inlineStr">
        <is>
          <t>CoQ reissue (assigned on issue)</t>
        </is>
      </c>
      <c r="S157" s="2" t="inlineStr">
        <is>
          <t>P060162|R</t>
        </is>
      </c>
      <c r="T157" s="8" t="inlineStr">
        <is>
          <t>not yet issuable — sampled — retest assay on file, mycotoxins pending; iCoA tested 19.08.2026, issued 24.08.2026 · issued 7 days after the latest retest certificate once the assay, the mycotoxins and the iCoA exist</t>
        </is>
      </c>
      <c r="U157" s="2">
        <f>IFERROR(INDEX('CoQ Register'!$B:$B,MATCH("P060162|I",'CoQ Register'!$S:$S,0)),"— initial certificate not on the register —")</f>
        <v/>
      </c>
      <c r="V157" s="10" t="n">
        <v>10.61</v>
      </c>
      <c r="W157" s="2" t="inlineStr">
        <is>
          <t>227-6-К/26</t>
        </is>
      </c>
      <c r="X157" s="2" t="inlineStr">
        <is>
          <t>10.00 ± 1.00 (II)</t>
        </is>
      </c>
      <c r="Y157" s="2" t="inlineStr">
        <is>
          <t>9.00 – 10.99 %</t>
        </is>
      </c>
      <c r="Z157" s="2" t="inlineStr">
        <is>
          <t>SJ_THC10 : CBD1</t>
        </is>
      </c>
      <c r="AA157" s="2" t="inlineStr">
        <is>
          <t>QCSP_001_SJ-II_v.01</t>
        </is>
      </c>
      <c r="AB157" s="8" t="inlineStr">
        <is>
          <t>for review — replaces the issued QCSP_001_SJ-II_v.01 (was SJ_THC10 : CBD1, 9.00 – 11.00 %); now SJ_THC10 : CBD1 9.00 – 10.99 %</t>
        </is>
      </c>
      <c r="AC157" s="11" t="inlineStr"/>
    </row>
    <row r="158">
      <c r="A158" s="2">
        <f>IF(C158="yes",COUNT(A$1:A157)+1,"")</f>
        <v/>
      </c>
      <c r="B158" s="3">
        <f>IF(A158&lt;&gt;"","CoQ-PP_26-"&amp;TEXT(A158,"000"),"— at issue —")</f>
        <v/>
      </c>
      <c r="C158" s="6" t="inlineStr">
        <is>
          <t>no</t>
        </is>
      </c>
      <c r="D158" s="5">
        <f>IF(A158="","",MAX(E158,IF(ISNUMBER(I158),I158,0),IFERROR(IF(ISNUMBER(INDEX('iCoA Register'!$F:$F,MATCH(S158,'iCoA Register'!$AA:$AA,0))),INDEX('iCoA Register'!$F:$F,MATCH(S158,'iCoA Register'!$AA:$AA,0)),0),0)))</f>
        <v/>
      </c>
      <c r="E158" s="5">
        <f>IF(ISNUMBER(F158),MAX(DATE(2026,6,6),F158+7),"— awaiting the retest certificates —")</f>
        <v/>
      </c>
      <c r="F158" s="5" t="n">
        <v>46276</v>
      </c>
      <c r="G158" s="2" t="inlineStr">
        <is>
          <t>227-5-K-26</t>
        </is>
      </c>
      <c r="H158" s="2">
        <f>IFERROR(INDEX('iCoA Register'!$B:$B,MATCH("P060192|R",'iCoA Register'!$AA:$AA,0)),"—")</f>
        <v/>
      </c>
      <c r="I158" s="5">
        <f>IFERROR(INDEX('iCoA Register'!$D:$D,MATCH("P060192|R",'iCoA Register'!$AA:$AA,0)),"")</f>
        <v/>
      </c>
      <c r="J158" s="2" t="inlineStr">
        <is>
          <t>legacy</t>
        </is>
      </c>
      <c r="K158" s="2" t="inlineStr">
        <is>
          <t>retest — Tranche 3 (sampled 19–21.08.2026)</t>
        </is>
      </c>
      <c r="L158" s="3" t="inlineStr">
        <is>
          <t>SJ112501</t>
        </is>
      </c>
      <c r="M158" s="2" t="inlineStr">
        <is>
          <t>P060192</t>
        </is>
      </c>
      <c r="N158" s="2" t="inlineStr">
        <is>
          <t>Sleepy Joe</t>
        </is>
      </c>
      <c r="O158" s="2" t="inlineStr">
        <is>
          <t>227-5-K-26, (11.09.2026) [FHM-K]</t>
        </is>
      </c>
      <c r="P158" s="6" t="inlineStr">
        <is>
          <t>—</t>
        </is>
      </c>
      <c r="Q158" s="2" t="inlineStr">
        <is>
          <t>—</t>
        </is>
      </c>
      <c r="R158" s="2" t="inlineStr">
        <is>
          <t>CoQ reissue (assigned on issue)</t>
        </is>
      </c>
      <c r="S158" s="2" t="inlineStr">
        <is>
          <t>P060192|R</t>
        </is>
      </c>
      <c r="T158" s="8" t="inlineStr">
        <is>
          <t>not yet issuable — sampled — retest assay on file, mycotoxins pending; iCoA tested 19.08.2026, issued 24.08.2026 · issued 7 days after the latest retest certificate once the assay, the mycotoxins and the iCoA exist</t>
        </is>
      </c>
      <c r="U158" s="2">
        <f>IFERROR(INDEX('CoQ Register'!$B:$B,MATCH("P060192|I",'CoQ Register'!$S:$S,0)),"— initial certificate not on the register —")</f>
        <v/>
      </c>
      <c r="V158" s="10" t="n">
        <v>11.27</v>
      </c>
      <c r="W158" s="2" t="inlineStr">
        <is>
          <t>227-5-К/26</t>
        </is>
      </c>
      <c r="X158" s="2" t="inlineStr">
        <is>
          <t>12.00 ± 1.00 (I)</t>
        </is>
      </c>
      <c r="Y158" s="2" t="inlineStr">
        <is>
          <t>11.00 – 12.99 %</t>
        </is>
      </c>
      <c r="Z158" s="2" t="inlineStr">
        <is>
          <t>SJ_THC12 : CBD1</t>
        </is>
      </c>
      <c r="AA158" s="2" t="inlineStr">
        <is>
          <t>QCSP_001_SJ-I_v.01</t>
        </is>
      </c>
      <c r="AB158" s="11" t="inlineStr">
        <is>
          <t>for review — new</t>
        </is>
      </c>
      <c r="AC158" s="11" t="inlineStr"/>
    </row>
    <row r="159">
      <c r="A159" s="2">
        <f>IF(C159="yes",COUNT(A$1:A158)+1,"")</f>
        <v/>
      </c>
      <c r="B159" s="3">
        <f>IF(A159&lt;&gt;"","CoQ-PP_26-"&amp;TEXT(A159,"000"),"— at issue —")</f>
        <v/>
      </c>
      <c r="C159" s="6" t="inlineStr">
        <is>
          <t>no</t>
        </is>
      </c>
      <c r="D159" s="5">
        <f>IF(A159="","",MAX(E159,IF(ISNUMBER(I159),I159,0),IFERROR(IF(ISNUMBER(INDEX('iCoA Register'!$F:$F,MATCH(S159,'iCoA Register'!$AA:$AA,0))),INDEX('iCoA Register'!$F:$F,MATCH(S159,'iCoA Register'!$AA:$AA,0)),0),0)))</f>
        <v/>
      </c>
      <c r="E159" s="5">
        <f>IF(ISNUMBER(F159),MAX(DATE(2026,6,6),F159+7),"— awaiting the retest certificates —")</f>
        <v/>
      </c>
      <c r="F159" s="5" t="n">
        <v>46276</v>
      </c>
      <c r="G159" s="2" t="inlineStr">
        <is>
          <t>227-10-K-26</t>
        </is>
      </c>
      <c r="H159" s="2">
        <f>IFERROR(INDEX('iCoA Register'!$B:$B,MATCH("P060222|R",'iCoA Register'!$AA:$AA,0)),"—")</f>
        <v/>
      </c>
      <c r="I159" s="5">
        <f>IFERROR(INDEX('iCoA Register'!$D:$D,MATCH("P060222|R",'iCoA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t>
        </is>
      </c>
      <c r="T159" s="8" t="inlineStr">
        <is>
          <t>not yet issuable — sampled — retest assay on file, mycotoxins pending; iCoA tested 19.08.2026, issued 24.08.2026 · issued 7 days after the latest retest certificate once the assay, the mycotoxins and the iCoA exist</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IF(C160="yes",COUNT(A$1:A159)+1,"")</f>
        <v/>
      </c>
      <c r="B160" s="3">
        <f>IF(A160&lt;&gt;"","CoQ-PP_26-"&amp;TEXT(A160,"000"),"— at issue —")</f>
        <v/>
      </c>
      <c r="C160" s="6" t="inlineStr">
        <is>
          <t>no</t>
        </is>
      </c>
      <c r="D160" s="5">
        <f>IF(A160="","",MAX(E160,IF(ISNUMBER(I160),I160,0),IFERROR(IF(ISNUMBER(INDEX('iCoA Register'!$F:$F,MATCH(S160,'iCoA Register'!$AA:$AA,0))),INDEX('iCoA Register'!$F:$F,MATCH(S160,'iCoA Register'!$AA:$AA,0)),0),0)))</f>
        <v/>
      </c>
      <c r="E160" s="5">
        <f>IF(ISNUMBER(F160),MAX(DATE(2026,6,6),F160+7),"— awaiting the retest certificates —")</f>
        <v/>
      </c>
      <c r="F160" s="5" t="n">
        <v>46276</v>
      </c>
      <c r="G160" s="2" t="inlineStr">
        <is>
          <t>227-14-K-26</t>
        </is>
      </c>
      <c r="H160" s="2">
        <f>IFERROR(INDEX('iCoA Register'!$B:$B,MATCH("P060202|R2",'iCoA Register'!$AA:$AA,0)),"—")</f>
        <v/>
      </c>
      <c r="I160" s="5">
        <f>IFERROR(INDEX('iCoA Register'!$D:$D,MATCH("P060202|R2",'iCoA Register'!$AA:$AA,0)),"")</f>
        <v/>
      </c>
      <c r="J160" s="2" t="inlineStr">
        <is>
          <t>legacy</t>
        </is>
      </c>
      <c r="K160" s="2" t="inlineStr">
        <is>
          <t>retest — Tranche 3 (sampled 19–21.08.2026)</t>
        </is>
      </c>
      <c r="L160" s="3" t="inlineStr">
        <is>
          <t>J31112501</t>
        </is>
      </c>
      <c r="M160" s="2" t="inlineStr">
        <is>
          <t>P060202</t>
        </is>
      </c>
      <c r="N160" s="2" t="inlineStr">
        <is>
          <t>Jokerz 31</t>
        </is>
      </c>
      <c r="O160" s="2" t="inlineStr">
        <is>
          <t>227-14-K-26, (11.09.2026) [FHM-K]</t>
        </is>
      </c>
      <c r="P160" s="6" t="inlineStr">
        <is>
          <t>—</t>
        </is>
      </c>
      <c r="Q160" s="2" t="inlineStr">
        <is>
          <t>—</t>
        </is>
      </c>
      <c r="R160" s="2" t="inlineStr">
        <is>
          <t>CoQ reissue (assigned on issue)</t>
        </is>
      </c>
      <c r="S160" s="2" t="inlineStr">
        <is>
          <t>P060202|R2</t>
        </is>
      </c>
      <c r="T160" s="8" t="inlineStr">
        <is>
          <t>not yet issuable — sampled — retest assay on file, mycotoxins pending; iCoA tested 20.08.2026, issued 24.08.2026 · issued 7 days after the latest retest certificate once the assay, the mycotoxins and the iCoA exist</t>
        </is>
      </c>
      <c r="U160" s="2">
        <f>IFERROR(INDEX('CoQ Register'!$B:$B,MATCH("P060202|I",'CoQ Register'!$S:$S,0)),"— initial certificate not on the register —")</f>
        <v/>
      </c>
      <c r="V160" s="10" t="n">
        <v>23.85</v>
      </c>
      <c r="W160" s="2" t="inlineStr">
        <is>
          <t>227-14-К/26</t>
        </is>
      </c>
      <c r="X160" s="2" t="inlineStr">
        <is>
          <t>22.00 ± 2.20 (II)</t>
        </is>
      </c>
      <c r="Y160" s="2" t="inlineStr">
        <is>
          <t>19.80 – 24.19 %</t>
        </is>
      </c>
      <c r="Z160" s="2" t="inlineStr">
        <is>
          <t>J31_THC22 : CBD1</t>
        </is>
      </c>
      <c r="AA160" s="2" t="inlineStr">
        <is>
          <t>QCSP_001_J31-II_v.01</t>
        </is>
      </c>
      <c r="AB160" s="8" t="inlineStr">
        <is>
          <t>for review — replaces the issued QCSP_001_J31-II_v.01 (was J31_THC18 : CBD1, 16.20 – 19.80 %); now J31_THC22 : CBD1 19.80 – 24.19 %</t>
        </is>
      </c>
      <c r="AC160" s="11" t="inlineStr"/>
    </row>
    <row r="161">
      <c r="A161" s="2">
        <f>IF(C161="yes",COUNT(A$1:A160)+1,"")</f>
        <v/>
      </c>
      <c r="B161" s="3">
        <f>IF(A161&lt;&gt;"","CoQ-PP_26-"&amp;TEXT(A161,"000"),"— at issue —")</f>
        <v/>
      </c>
      <c r="C161" s="6" t="inlineStr">
        <is>
          <t>no</t>
        </is>
      </c>
      <c r="D161" s="5">
        <f>IF(A161="","",MAX(E161,IF(ISNUMBER(I161),I161,0),IFERROR(IF(ISNUMBER(INDEX('iCoA Register'!$F:$F,MATCH(S161,'iCoA Register'!$AA:$AA,0))),INDEX('iCoA Register'!$F:$F,MATCH(S161,'iCoA Register'!$AA:$AA,0)),0),0)))</f>
        <v/>
      </c>
      <c r="E161" s="5">
        <f>IF(ISNUMBER(F161),MAX(DATE(2026,6,6),F161+7),"— awaiting the retest certificates —")</f>
        <v/>
      </c>
      <c r="F161" s="5" t="inlineStr">
        <is>
          <t>— no retest certificate on file —</t>
        </is>
      </c>
      <c r="G161" s="2" t="inlineStr">
        <is>
          <t>—</t>
        </is>
      </c>
      <c r="H161" s="2">
        <f>IFERROR(INDEX('iCoA Register'!$B:$B,MATCH("JD112501|R",'iCoA Register'!$AA:$AA,0)),"—")</f>
        <v/>
      </c>
      <c r="I161" s="5">
        <f>IFERROR(INDEX('iCoA Register'!$D:$D,MATCH("JD112501|R",'iCoA Register'!$AA:$AA,0)),"")</f>
        <v/>
      </c>
      <c r="J161" s="2" t="inlineStr">
        <is>
          <t>—</t>
        </is>
      </c>
      <c r="K161" s="2" t="inlineStr">
        <is>
          <t>retest — not yet sampled</t>
        </is>
      </c>
      <c r="L161" s="3" t="inlineStr">
        <is>
          <t>JD112501＊</t>
        </is>
      </c>
      <c r="M161" s="2" t="inlineStr">
        <is>
          <t>N/A — no P batch assigned</t>
        </is>
      </c>
      <c r="N161" s="2" t="inlineStr">
        <is>
          <t>Jelly Donutz</t>
        </is>
      </c>
      <c r="O161" s="6" t="inlineStr">
        <is>
          <t>— retest assay not yet on file —</t>
        </is>
      </c>
      <c r="P161" s="6" t="inlineStr">
        <is>
          <t>—</t>
        </is>
      </c>
      <c r="Q161" s="2" t="inlineStr">
        <is>
          <t>—</t>
        </is>
      </c>
      <c r="R161" s="2" t="inlineStr">
        <is>
          <t>CoQ reissue (assigned on issue)</t>
        </is>
      </c>
      <c r="S161" s="2" t="inlineStr">
        <is>
          <t>JD112501|R</t>
        </is>
      </c>
      <c r="T161" s="8" t="inlineStr">
        <is>
          <t>not yet issuable — initial certificate withheld — pending — not yet sampled · issued 7 days after the latest retest certificate once the assay, the mycotoxins and the iCoA exist</t>
        </is>
      </c>
      <c r="U161" s="2">
        <f>IFERROR(INDEX('CoQ Register'!$B:$B,MATCH("JD112501|I",'CoQ Register'!$S:$S,0)),"— initial certificate not on the register —")</f>
        <v/>
      </c>
      <c r="V161" s="10" t="n">
        <v>20.32</v>
      </c>
      <c r="W161" s="2" t="inlineStr">
        <is>
          <t>197-15-К/26</t>
        </is>
      </c>
      <c r="X161" s="2" t="inlineStr">
        <is>
          <t>22.00 ± 2.20 (I)</t>
        </is>
      </c>
      <c r="Y161" s="2" t="inlineStr">
        <is>
          <t>19.80 – 24.19 %</t>
        </is>
      </c>
      <c r="Z161" s="2" t="inlineStr">
        <is>
          <t>JD_THC22 : CBD1</t>
        </is>
      </c>
      <c r="AA161" s="2" t="inlineStr">
        <is>
          <t>QCSP_001_JD-I_v.01</t>
        </is>
      </c>
      <c r="AB161" s="8" t="inlineStr">
        <is>
          <t>for review — replaces the issued QCSP_001_JD-I_v.01 (was JD_THC20 : CBD1, 18.00 – 22.00 %); now JD_THC22 : CBD1 19.80 – 24.19 %</t>
        </is>
      </c>
      <c r="AC161" s="11" t="inlineStr"/>
    </row>
    <row r="162">
      <c r="A162" s="2">
        <f>IF(C162="yes",COUNT(A$1:A161)+1,"")</f>
        <v/>
      </c>
      <c r="B162" s="3">
        <f>IF(A162&lt;&gt;"","CoQ-PP_26-"&amp;TEXT(A162,"000"),"— at issue —")</f>
        <v/>
      </c>
      <c r="C162" s="6" t="inlineStr">
        <is>
          <t>no</t>
        </is>
      </c>
      <c r="D162" s="5">
        <f>IF(A162="","",MAX(E162,IF(ISNUMBER(I162),I162,0),IFERROR(IF(ISNUMBER(INDEX('iCoA Register'!$F:$F,MATCH(S162,'iCoA Register'!$AA:$AA,0))),INDEX('iCoA Register'!$F:$F,MATCH(S162,'iCoA Register'!$AA:$AA,0)),0),0)))</f>
        <v/>
      </c>
      <c r="E162" s="5">
        <f>IF(ISNUMBER(F162),MAX(DATE(2026,6,6),F162+7),"— awaiting the retest certificates —")</f>
        <v/>
      </c>
      <c r="F162" s="5" t="n">
        <v>46135</v>
      </c>
      <c r="G162" s="2" t="inlineStr">
        <is>
          <t>1628-2026</t>
        </is>
      </c>
      <c r="H162" s="2">
        <f>IFERROR(INDEX('iCoA Register'!$B:$B,MATCH("P060262|R",'iCoA Register'!$AA:$AA,0)),"—")</f>
        <v/>
      </c>
      <c r="I162" s="5">
        <f>IFERROR(INDEX('iCoA Register'!$D:$D,MATCH("P060262|R",'iCoA Register'!$AA:$AA,0)),"")</f>
        <v/>
      </c>
      <c r="J162" s="2" t="inlineStr">
        <is>
          <t>post-SOP</t>
        </is>
      </c>
      <c r="K162" s="2" t="inlineStr">
        <is>
          <t>retest — Tranche 3 (sampled 19–21.08.2026)</t>
        </is>
      </c>
      <c r="L162" s="3" t="inlineStr">
        <is>
          <t>J31122501</t>
        </is>
      </c>
      <c r="M162" s="2" t="inlineStr">
        <is>
          <t>P060262</t>
        </is>
      </c>
      <c r="N162" s="2" t="inlineStr">
        <is>
          <t>Jokerz 31</t>
        </is>
      </c>
      <c r="O162" s="6" t="inlineStr">
        <is>
          <t>— retest assay not yet on file —</t>
        </is>
      </c>
      <c r="P162" s="6" t="inlineStr">
        <is>
          <t>—</t>
        </is>
      </c>
      <c r="Q162" s="2" t="inlineStr">
        <is>
          <t>—</t>
        </is>
      </c>
      <c r="R162" s="2" t="inlineStr">
        <is>
          <t>CoQ reissue (assigned on issue)</t>
        </is>
      </c>
      <c r="S162" s="2" t="inlineStr">
        <is>
          <t>P060262|R</t>
        </is>
      </c>
      <c r="T162" s="8" t="inlineStr">
        <is>
          <t>not yet issuable — sampled — microbiology on file, retest assay pending · issued 7 days after the latest retest certificate once the assay, the mycotoxins and the iCoA exist</t>
        </is>
      </c>
      <c r="U162" s="2">
        <f>IFERROR(INDEX('CoQ Register'!$B:$B,MATCH("P060262|I",'CoQ Register'!$S:$S,0)),"— initial certificate not on the register —")</f>
        <v/>
      </c>
      <c r="V162" s="10" t="n">
        <v>24.48</v>
      </c>
      <c r="W162" s="2" t="inlineStr">
        <is>
          <t>227-13-К/26</t>
        </is>
      </c>
      <c r="X162" s="2" t="inlineStr">
        <is>
          <t>26.00 ± 1.80 (I)</t>
        </is>
      </c>
      <c r="Y162" s="2" t="inlineStr">
        <is>
          <t>24.20 – 27.79 %</t>
        </is>
      </c>
      <c r="Z162" s="2" t="inlineStr">
        <is>
          <t>J31_THC26 : CBD1</t>
        </is>
      </c>
      <c r="AA162" s="2" t="inlineStr">
        <is>
          <t>QCSP_001_J31-I_v.01</t>
        </is>
      </c>
      <c r="AB162" s="11" t="inlineStr">
        <is>
          <t>for review — new</t>
        </is>
      </c>
      <c r="AC162" s="11" t="inlineStr"/>
    </row>
    <row r="163">
      <c r="A163" s="2">
        <f>IF(C163="yes",COUNT(A$1:A162)+1,"")</f>
        <v/>
      </c>
      <c r="B163" s="3">
        <f>IF(A163&lt;&gt;"","CoQ-PP_26-"&amp;TEXT(A163,"000"),"— at issue —")</f>
        <v/>
      </c>
      <c r="C163" s="6" t="inlineStr">
        <is>
          <t>no</t>
        </is>
      </c>
      <c r="D163" s="5">
        <f>IF(A163="","",MAX(E163,IF(ISNUMBER(I163),I163,0),IFERROR(IF(ISNUMBER(INDEX('iCoA Register'!$F:$F,MATCH(S163,'iCoA Register'!$AA:$AA,0))),INDEX('iCoA Register'!$F:$F,MATCH(S163,'iCoA Register'!$AA:$AA,0)),0),0)))</f>
        <v/>
      </c>
      <c r="E163" s="5">
        <f>IF(ISNUMBER(F163),MAX(DATE(2026,6,6),F163+7),"— awaiting the retest certificates —")</f>
        <v/>
      </c>
      <c r="F163" s="5" t="n">
        <v>46276</v>
      </c>
      <c r="G163" s="2" t="inlineStr">
        <is>
          <t>227-25-K-26</t>
        </is>
      </c>
      <c r="H163" s="2">
        <f>IFERROR(INDEX('iCoA Register'!$B:$B,MATCH("P060272|R",'iCoA Register'!$AA:$AA,0)),"—")</f>
        <v/>
      </c>
      <c r="I163" s="5">
        <f>IFERROR(INDEX('iCoA Register'!$D:$D,MATCH("P060272|R",'iCoA Register'!$AA:$AA,0)),"")</f>
        <v/>
      </c>
      <c r="J163" s="2" t="inlineStr">
        <is>
          <t>post-SOP</t>
        </is>
      </c>
      <c r="K163" s="2" t="inlineStr">
        <is>
          <t>retest — Tranche 3 (sampled 19–21.08.2026)</t>
        </is>
      </c>
      <c r="L163" s="3" t="inlineStr">
        <is>
          <t>CC112501</t>
        </is>
      </c>
      <c r="M163" s="2" t="inlineStr">
        <is>
          <t>P060272</t>
        </is>
      </c>
      <c r="N163" s="2" t="inlineStr">
        <is>
          <t>Cash Cow</t>
        </is>
      </c>
      <c r="O163" s="2" t="inlineStr">
        <is>
          <t>227-25-K-26, (11.09.2026) [FHM-K]</t>
        </is>
      </c>
      <c r="P163" s="6" t="inlineStr">
        <is>
          <t>—</t>
        </is>
      </c>
      <c r="Q163" s="2" t="inlineStr">
        <is>
          <t>—</t>
        </is>
      </c>
      <c r="R163" s="2" t="inlineStr">
        <is>
          <t>CoQ reissue (assigned on issue)</t>
        </is>
      </c>
      <c r="S163" s="2" t="inlineStr">
        <is>
          <t>P060272|R</t>
        </is>
      </c>
      <c r="T163" s="8" t="inlineStr">
        <is>
          <t>not yet issuable — sampled — retest assay on file, mycotoxins pending; iCoA tested 21.08.2026, issued 24.08.2026 · issued 7 days after the latest retest certificate once the assay, the mycotoxins and the iCoA exist</t>
        </is>
      </c>
      <c r="U163" s="2">
        <f>IFERROR(INDEX('CoQ Register'!$B:$B,MATCH("P060272|I",'CoQ Register'!$S:$S,0)),"— initial certificate not on the register —")</f>
        <v/>
      </c>
      <c r="V163" s="10" t="n">
        <v>16.36</v>
      </c>
      <c r="W163" s="2" t="inlineStr">
        <is>
          <t>227-25-К/26</t>
        </is>
      </c>
      <c r="X163" s="2" t="inlineStr">
        <is>
          <t>17.00 ± 1.65 (I)</t>
        </is>
      </c>
      <c r="Y163" s="2" t="inlineStr">
        <is>
          <t>15.35 – 18.64 %</t>
        </is>
      </c>
      <c r="Z163" s="2" t="inlineStr">
        <is>
          <t>CC_THC17 : CBD1</t>
        </is>
      </c>
      <c r="AA163" s="2" t="inlineStr">
        <is>
          <t>QCSP_001_CC-I_v.01</t>
        </is>
      </c>
      <c r="AB163" s="11" t="inlineStr">
        <is>
          <t>for review — new</t>
        </is>
      </c>
      <c r="AC163" s="11" t="inlineStr"/>
    </row>
    <row r="164">
      <c r="A164" s="2">
        <f>IF(C164="yes",COUNT(A$1:A163)+1,"")</f>
        <v/>
      </c>
      <c r="B164" s="3">
        <f>IF(A164&lt;&gt;"","CoQ-PP_26-"&amp;TEXT(A164,"000"),"— at issue —")</f>
        <v/>
      </c>
      <c r="C164" s="6" t="inlineStr">
        <is>
          <t>no</t>
        </is>
      </c>
      <c r="D164" s="5">
        <f>IF(A164="","",MAX(E164,IF(ISNUMBER(I164),I164,0),IFERROR(IF(ISNUMBER(INDEX('iCoA Register'!$F:$F,MATCH(S164,'iCoA Register'!$AA:$AA,0))),INDEX('iCoA Register'!$F:$F,MATCH(S164,'iCoA Register'!$AA:$AA,0)),0),0)))</f>
        <v/>
      </c>
      <c r="E164" s="5">
        <f>IF(ISNUMBER(F164),MAX(DATE(2026,6,6),F164+7),"— awaiting the retest certificates —")</f>
        <v/>
      </c>
      <c r="F164" s="5" t="n">
        <v>46276</v>
      </c>
      <c r="G164" s="2" t="inlineStr">
        <is>
          <t>227-22-K-26</t>
        </is>
      </c>
      <c r="H164" s="2">
        <f>IFERROR(INDEX('iCoA Register'!$B:$B,MATCH("P060292|R",'iCoA Register'!$AA:$AA,0)),"—")</f>
        <v/>
      </c>
      <c r="I164" s="5">
        <f>IFERROR(INDEX('iCoA Register'!$D:$D,MATCH("P060292|R",'iCoA Register'!$AA:$AA,0)),"")</f>
        <v/>
      </c>
      <c r="J164" s="2" t="inlineStr">
        <is>
          <t>post-SOP</t>
        </is>
      </c>
      <c r="K164" s="2" t="inlineStr">
        <is>
          <t>retest — Tranche 3 (sampled 19–21.08.2026)</t>
        </is>
      </c>
      <c r="L164" s="3" t="inlineStr">
        <is>
          <t>FB112501</t>
        </is>
      </c>
      <c r="M164" s="2" t="inlineStr">
        <is>
          <t>P060292</t>
        </is>
      </c>
      <c r="N164" s="2" t="inlineStr">
        <is>
          <t>Fat Bastard</t>
        </is>
      </c>
      <c r="O164" s="2" t="inlineStr">
        <is>
          <t>227-22-K-26, (11.09.2026) [FHM-K]</t>
        </is>
      </c>
      <c r="P164" s="6" t="inlineStr">
        <is>
          <t>—</t>
        </is>
      </c>
      <c r="Q164" s="2" t="inlineStr">
        <is>
          <t>—</t>
        </is>
      </c>
      <c r="R164" s="2" t="inlineStr">
        <is>
          <t>CoQ reissue (assigned on issue)</t>
        </is>
      </c>
      <c r="S164" s="2" t="inlineStr">
        <is>
          <t>P060292|R</t>
        </is>
      </c>
      <c r="T164" s="8" t="inlineStr">
        <is>
          <t>not yet issuable — sampled — retest assay on file, mycotoxins pending; iCoA tested 21.08.2026, issued 24.08.2026 · issued 7 days after the latest retest certificate once the assay, the mycotoxins and the iCoA exist</t>
        </is>
      </c>
      <c r="U164" s="2">
        <f>IFERROR(INDEX('CoQ Register'!$B:$B,MATCH("P060292|I",'CoQ Register'!$S:$S,0)),"— initial certificate not on the register —")</f>
        <v/>
      </c>
      <c r="V164" s="10" t="n">
        <v>18.75</v>
      </c>
      <c r="W164" s="2" t="inlineStr">
        <is>
          <t>227-22-К/26</t>
        </is>
      </c>
      <c r="X164" s="2" t="inlineStr">
        <is>
          <t>18.00 ± 1.80 (II)</t>
        </is>
      </c>
      <c r="Y164" s="2" t="inlineStr">
        <is>
          <t>16.20 – 19.79 %</t>
        </is>
      </c>
      <c r="Z164" s="2" t="inlineStr">
        <is>
          <t>FB_THC18 : CBD1</t>
        </is>
      </c>
      <c r="AA164" s="2" t="inlineStr">
        <is>
          <t>QCSP_001_FB-II_v.01</t>
        </is>
      </c>
      <c r="AB164" s="8" t="inlineStr">
        <is>
          <t>for review — replaces the issued QCSP_001_FB-II_v.01 (was FB_THC18 : CBD1, 17.15 – 18.85 %); now FB_THC18 : CBD1 16.20 – 19.79 %</t>
        </is>
      </c>
      <c r="AC164" s="11" t="inlineStr"/>
    </row>
    <row r="165">
      <c r="A165" s="2">
        <f>IF(C165="yes",COUNT(A$1:A164)+1,"")</f>
        <v/>
      </c>
      <c r="B165" s="3">
        <f>IF(A165&lt;&gt;"","CoQ-PP_26-"&amp;TEXT(A165,"000"),"— at issue —")</f>
        <v/>
      </c>
      <c r="C165" s="6" t="inlineStr">
        <is>
          <t>no</t>
        </is>
      </c>
      <c r="D165" s="5">
        <f>IF(A165="","",MAX(E165,IF(ISNUMBER(I165),I165,0),IFERROR(IF(ISNUMBER(INDEX('iCoA Register'!$F:$F,MATCH(S165,'iCoA Register'!$AA:$AA,0))),INDEX('iCoA Register'!$F:$F,MATCH(S165,'iCoA Register'!$AA:$AA,0)),0),0)))</f>
        <v/>
      </c>
      <c r="E165" s="5">
        <f>IF(ISNUMBER(F165),MAX(DATE(2026,6,6),F165+7),"— awaiting the retest certificates —")</f>
        <v/>
      </c>
      <c r="F165" s="5" t="n">
        <v>46276</v>
      </c>
      <c r="G165" s="2" t="inlineStr">
        <is>
          <t>227-21-K-26</t>
        </is>
      </c>
      <c r="H165" s="2">
        <f>IFERROR(INDEX('iCoA Register'!$B:$B,MATCH("P060302|R",'iCoA Register'!$AA:$AA,0)),"—")</f>
        <v/>
      </c>
      <c r="I165" s="5">
        <f>IFERROR(INDEX('iCoA Register'!$D:$D,MATCH("P060302|R",'iCoA Register'!$AA:$AA,0)),"")</f>
        <v/>
      </c>
      <c r="J165" s="2" t="inlineStr">
        <is>
          <t>post-SOP</t>
        </is>
      </c>
      <c r="K165" s="2" t="inlineStr">
        <is>
          <t>retest — Tranche 3 (sampled 19–21.08.2026)</t>
        </is>
      </c>
      <c r="L165" s="3" t="inlineStr">
        <is>
          <t>GG012601＊</t>
        </is>
      </c>
      <c r="M165" s="2" t="inlineStr">
        <is>
          <t>P060302</t>
        </is>
      </c>
      <c r="N165" s="2" t="inlineStr">
        <is>
          <t>Gorilla Glue</t>
        </is>
      </c>
      <c r="O165" s="2" t="inlineStr">
        <is>
          <t>227-21-K-26, (11.09.2026) [FHM-K]</t>
        </is>
      </c>
      <c r="P165" s="6" t="inlineStr">
        <is>
          <t>—</t>
        </is>
      </c>
      <c r="Q165" s="2" t="inlineStr">
        <is>
          <t>—</t>
        </is>
      </c>
      <c r="R165" s="2" t="inlineStr">
        <is>
          <t>CoQ reissue (assigned on issue)</t>
        </is>
      </c>
      <c r="S165" s="2" t="inlineStr">
        <is>
          <t>P060302|R</t>
        </is>
      </c>
      <c r="T165" s="8" t="inlineStr">
        <is>
          <t>not yet issuable — initial certificate withheld — sampled — retest assay on file, mycotoxins pending; iCoA tested 21.08.2026, issued 24.08.2026 · issued 7 days after the latest retest certificate once the assay, the mycotoxins and the iCoA exist</t>
        </is>
      </c>
      <c r="U165" s="2">
        <f>IFERROR(INDEX('CoQ Register'!$B:$B,MATCH("P060302|I",'CoQ Register'!$S:$S,0)),"— initial certificate not on the register —")</f>
        <v/>
      </c>
      <c r="V165" s="10" t="n">
        <v>19.16</v>
      </c>
      <c r="W165" s="2" t="inlineStr">
        <is>
          <t>227-21-К/26</t>
        </is>
      </c>
      <c r="X165" s="2" t="inlineStr">
        <is>
          <t>18.00 ± 1.77 (I)</t>
        </is>
      </c>
      <c r="Y165" s="2" t="inlineStr">
        <is>
          <t>16.23 – 19.76 %</t>
        </is>
      </c>
      <c r="Z165" s="2" t="inlineStr">
        <is>
          <t>GG_THC18 : CBD1</t>
        </is>
      </c>
      <c r="AA165" s="2" t="inlineStr">
        <is>
          <t>QCSP_001_GG-I_v.01</t>
        </is>
      </c>
      <c r="AB165" s="8" t="inlineStr">
        <is>
          <t>for review — replaces the issued QCSP_001_GG-I_v.01 (was GG_THC18 : CBD1, 17.01 – 18.99 %); now GG_THC18 : CBD1 16.23 – 19.76 %</t>
        </is>
      </c>
      <c r="AC165" s="11" t="inlineStr"/>
    </row>
    <row r="166">
      <c r="A166" s="2">
        <f>IF(C166="yes",COUNT(A$1:A165)+1,"")</f>
        <v/>
      </c>
      <c r="B166" s="3">
        <f>IF(A166&lt;&gt;"","CoQ-PP_26-"&amp;TEXT(A166,"000"),"— at issue —")</f>
        <v/>
      </c>
      <c r="C166" s="6" t="inlineStr">
        <is>
          <t>no</t>
        </is>
      </c>
      <c r="D166" s="5">
        <f>IF(A166="","",MAX(E166,IF(ISNUMBER(I166),I166,0),IFERROR(IF(ISNUMBER(INDEX('iCoA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227-20-K-26</t>
        </is>
      </c>
      <c r="H166" s="2">
        <f>IFERROR(INDEX('iCoA Register'!$B:$B,MATCH("P060252|R",'iCoA Register'!$AA:$AA,0)),"—")</f>
        <v/>
      </c>
      <c r="I166" s="5">
        <f>IFERROR(INDEX('iCoA Register'!$D:$D,MATCH("P060252|R",'iCoA Register'!$AA:$AA,0)),"")</f>
        <v/>
      </c>
      <c r="J166" s="2" t="inlineStr">
        <is>
          <t>legacy</t>
        </is>
      </c>
      <c r="K166" s="2" t="inlineStr">
        <is>
          <t>retest — Tranche 3 (sampled 19–21.08.2026)</t>
        </is>
      </c>
      <c r="L166" s="3" t="inlineStr">
        <is>
          <t>GG112501</t>
        </is>
      </c>
      <c r="M166" s="2" t="inlineStr">
        <is>
          <t>P060252</t>
        </is>
      </c>
      <c r="N166" s="2" t="inlineStr">
        <is>
          <t>Gorilla Glue</t>
        </is>
      </c>
      <c r="O166" s="2" t="inlineStr">
        <is>
          <t>227-20-K-26, (11.09.2026) [FHM-K]</t>
        </is>
      </c>
      <c r="P166" s="6" t="inlineStr">
        <is>
          <t>—</t>
        </is>
      </c>
      <c r="Q166" s="2" t="inlineStr">
        <is>
          <t>—</t>
        </is>
      </c>
      <c r="R166" s="2" t="inlineStr">
        <is>
          <t>CoQ reissue (assigned on issue)</t>
        </is>
      </c>
      <c r="S166" s="2" t="inlineStr">
        <is>
          <t>P060252|R</t>
        </is>
      </c>
      <c r="T166" s="8" t="inlineStr">
        <is>
          <t>not yet issuable — sampled — retest assay on file, mycotoxins pending; iCoA tested 20.08.2026, issued 24.08.2026 · issued 7 days after the latest retest certificate once the assay, the mycotoxins and the iCoA exist</t>
        </is>
      </c>
      <c r="U166" s="2">
        <f>IFERROR(INDEX('CoQ Register'!$B:$B,MATCH("P060252|I",'CoQ Register'!$S:$S,0)),"— initial certificate not on the register —")</f>
        <v/>
      </c>
      <c r="V166" s="10" t="n">
        <v>18.64</v>
      </c>
      <c r="W166" s="2" t="inlineStr">
        <is>
          <t>227-20-К/26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IF(C167="yes",COUNT(A$1:A166)+1,"")</f>
        <v/>
      </c>
      <c r="B167" s="3">
        <f>IF(A167&lt;&gt;"","CoQ-PP_26-"&amp;TEXT(A167,"000"),"— at issue —")</f>
        <v/>
      </c>
      <c r="C167" s="6" t="inlineStr">
        <is>
          <t>no</t>
        </is>
      </c>
      <c r="D167" s="5">
        <f>IF(A167="","",MAX(E167,IF(ISNUMBER(I167),I167,0),IFERROR(IF(ISNUMBER(INDEX('iCoA Register'!$F:$F,MATCH(S167,'iCoA Register'!$AA:$AA,0))),INDEX('iCoA Register'!$F:$F,MATCH(S167,'iCoA Register'!$AA:$AA,0)),0),0)))</f>
        <v/>
      </c>
      <c r="E167" s="5">
        <f>IF(ISNUMBER(F167),MAX(DATE(2026,6,6),F167+7),"— awaiting the retest certificates —")</f>
        <v/>
      </c>
      <c r="F167" s="5" t="n">
        <v>46276</v>
      </c>
      <c r="G167" s="2" t="inlineStr">
        <is>
          <t>227-18-K-26</t>
        </is>
      </c>
      <c r="H167" s="2">
        <f>IFERROR(INDEX('iCoA Register'!$B:$B,MATCH("P050202|R5",'iCoA Register'!$AA:$AA,0)),"—")</f>
        <v/>
      </c>
      <c r="I167" s="5">
        <f>IFERROR(INDEX('iCoA Register'!$D:$D,MATCH("P050202|R5",'iCoA Register'!$AA:$AA,0)),"")</f>
        <v/>
      </c>
      <c r="J167" s="2" t="inlineStr">
        <is>
          <t>legacy</t>
        </is>
      </c>
      <c r="K167" s="2" t="inlineStr">
        <is>
          <t>retest — Tranche 3 (sampled 19–21.08.2026)</t>
        </is>
      </c>
      <c r="L167" s="3" t="inlineStr">
        <is>
          <t>GP062501</t>
        </is>
      </c>
      <c r="M167" s="2" t="inlineStr">
        <is>
          <t>P050202</t>
        </is>
      </c>
      <c r="N167" s="2" t="inlineStr">
        <is>
          <t>Grape Pie</t>
        </is>
      </c>
      <c r="O167" s="2" t="inlineStr">
        <is>
          <t>227-18-K-26, (11.09.2026) [FHM-K]</t>
        </is>
      </c>
      <c r="P167" s="6" t="inlineStr">
        <is>
          <t>—</t>
        </is>
      </c>
      <c r="Q167" s="2" t="inlineStr">
        <is>
          <t>—</t>
        </is>
      </c>
      <c r="R167" s="2" t="inlineStr">
        <is>
          <t>CoQ reissue (assigned on issue)</t>
        </is>
      </c>
      <c r="S167" s="2" t="inlineStr">
        <is>
          <t>P050202|R5</t>
        </is>
      </c>
      <c r="T167" s="8" t="inlineStr">
        <is>
          <t>not yet issuable — sampled — retest assay on file, mycotoxins pending; iCoA tested 20.08.2026, issued 24.08.2026 · issued 7 days after the latest retest certificate once the assay, the mycotoxins and the iCoA exist</t>
        </is>
      </c>
      <c r="U167" s="2">
        <f>IFERROR(INDEX('CoQ Register'!$B:$B,MATCH("P050202|I",'CoQ Register'!$S:$S,0)),"— initial certificate not on the register —")</f>
        <v/>
      </c>
      <c r="V167" s="10" t="n">
        <v>25.97</v>
      </c>
      <c r="W167" s="2" t="inlineStr">
        <is>
          <t>227-18-К/26</t>
        </is>
      </c>
      <c r="X167" s="2" t="inlineStr">
        <is>
          <t>24.00 ± 2.00 (II)</t>
        </is>
      </c>
      <c r="Y167" s="2" t="inlineStr">
        <is>
          <t>22.00 – 25.99 %</t>
        </is>
      </c>
      <c r="Z167" s="2" t="inlineStr">
        <is>
          <t>GP_THC24 : CBD1</t>
        </is>
      </c>
      <c r="AA167" s="2" t="inlineStr">
        <is>
          <t>QCSP_001_GP-II_v.01</t>
        </is>
      </c>
      <c r="AB167" s="8" t="inlineStr">
        <is>
          <t>for review — replaces the issued QCSP_001_GP-II_v.01 (was GP_THC26 : CBD1, 25.40 – 26.60 %); now GP_THC24 : CBD1 22.00 – 25.99 %</t>
        </is>
      </c>
      <c r="AC167" s="11" t="inlineStr"/>
    </row>
    <row r="168">
      <c r="A168" s="2">
        <f>IF(C168="yes",COUNT(A$1:A167)+1,"")</f>
        <v/>
      </c>
      <c r="B168" s="3">
        <f>IF(A168&lt;&gt;"","CoQ-PP_26-"&amp;TEXT(A168,"000"),"— at issue —")</f>
        <v/>
      </c>
      <c r="C168" s="6" t="inlineStr">
        <is>
          <t>no</t>
        </is>
      </c>
      <c r="D168" s="5">
        <f>IF(A168="","",MAX(E168,IF(ISNUMBER(I168),I168,0),IFERROR(IF(ISNUMBER(INDEX('iCoA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Register'!$B:$B,MATCH("P060312|R",'iCoA Register'!$AA:$AA,0)),"—")</f>
        <v/>
      </c>
      <c r="I168" s="5">
        <f>IFERROR(INDEX('iCoA Register'!$D:$D,MATCH("P060312|R",'iCoA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IF(C169="yes",COUNT(A$1:A168)+1,"")</f>
        <v/>
      </c>
      <c r="B169" s="3">
        <f>IF(A169&lt;&gt;"","CoQ-PP_26-"&amp;TEXT(A169,"000"),"— at issue —")</f>
        <v/>
      </c>
      <c r="C169" s="6" t="inlineStr">
        <is>
          <t>no</t>
        </is>
      </c>
      <c r="D169" s="5">
        <f>IF(A169="","",MAX(E169,IF(ISNUMBER(I169),I169,0),IFERROR(IF(ISNUMBER(INDEX('iCoA Register'!$F:$F,MATCH(S169,'iCoA Register'!$AA:$AA,0))),INDEX('iCoA Register'!$F:$F,MATCH(S169,'iCoA Register'!$AA:$AA,0)),0),0)))</f>
        <v/>
      </c>
      <c r="E169" s="5">
        <f>IF(ISNUMBER(F169),MAX(DATE(2026,6,6),F169+7),"— awaiting the retest certificates —")</f>
        <v/>
      </c>
      <c r="F169" s="5" t="n">
        <v>46276</v>
      </c>
      <c r="G169" s="2" t="inlineStr">
        <is>
          <t>227-24-K-26</t>
        </is>
      </c>
      <c r="H169" s="2">
        <f>IFERROR(INDEX('iCoA Register'!$B:$B,MATCH("P060432|R",'iCoA Register'!$AA:$AA,0)),"—")</f>
        <v/>
      </c>
      <c r="I169" s="5">
        <f>IFERROR(INDEX('iCoA Register'!$D:$D,MATCH("P060432|R",'iCoA Register'!$AA:$AA,0)),"")</f>
        <v/>
      </c>
      <c r="J169" s="2" t="inlineStr">
        <is>
          <t>post-SOP</t>
        </is>
      </c>
      <c r="K169" s="2" t="inlineStr">
        <is>
          <t>retest — Tranche 3 (sampled 19–21.08.2026)</t>
        </is>
      </c>
      <c r="L169" s="3" t="inlineStr">
        <is>
          <t>FB012603</t>
        </is>
      </c>
      <c r="M169" s="2" t="inlineStr">
        <is>
          <t>P060432</t>
        </is>
      </c>
      <c r="N169" s="2" t="inlineStr">
        <is>
          <t>Fat Bastard</t>
        </is>
      </c>
      <c r="O169" s="2" t="inlineStr">
        <is>
          <t>227-24-K-26, (11.09.2026) [FHM-K]</t>
        </is>
      </c>
      <c r="P169" s="6" t="inlineStr">
        <is>
          <t>—</t>
        </is>
      </c>
      <c r="Q169" s="2" t="inlineStr">
        <is>
          <t>—</t>
        </is>
      </c>
      <c r="R169" s="2" t="inlineStr">
        <is>
          <t>CoQ reissue (assigned on issue)</t>
        </is>
      </c>
      <c r="S169" s="2" t="inlineStr">
        <is>
          <t>P060432|R</t>
        </is>
      </c>
      <c r="T169" s="8" t="inlineStr">
        <is>
          <t>not yet issuable — sampled — retest assay on file, mycotoxins pending; iCoA tested 21.08.2026, issued 24.08.2026 · issued 7 days after the latest retest certificate once the assay, the mycotoxins and the iCoA exist</t>
        </is>
      </c>
      <c r="U169" s="2">
        <f>IFERROR(INDEX('CoQ Register'!$B:$B,MATCH("P060432|I",'CoQ Register'!$S:$S,0)),"— initial certificate not on the register —")</f>
        <v/>
      </c>
      <c r="V169" s="10" t="n">
        <v>20</v>
      </c>
      <c r="W169" s="2" t="inlineStr">
        <is>
          <t>227-24-К/26</t>
        </is>
      </c>
      <c r="X169" s="2" t="inlineStr">
        <is>
          <t>22.00 ± 2.20 (I)</t>
        </is>
      </c>
      <c r="Y169" s="2" t="inlineStr">
        <is>
          <t>19.80 – 24.19 %</t>
        </is>
      </c>
      <c r="Z169" s="2" t="inlineStr">
        <is>
          <t>FB_THC22 : CBD1</t>
        </is>
      </c>
      <c r="AA169" s="2" t="inlineStr">
        <is>
          <t>QCSP_001_FB-I_v.01</t>
        </is>
      </c>
      <c r="AB169" s="11" t="inlineStr">
        <is>
          <t>for review — new</t>
        </is>
      </c>
      <c r="AC169" s="11" t="inlineStr"/>
    </row>
    <row r="170">
      <c r="A170" s="2">
        <f>IF(C170="yes",COUNT(A$1:A169)+1,"")</f>
        <v/>
      </c>
      <c r="B170" s="3">
        <f>IF(A170&lt;&gt;"","CoQ-PP_26-"&amp;TEXT(A170,"000"),"— at issue —")</f>
        <v/>
      </c>
      <c r="C170" s="6" t="inlineStr">
        <is>
          <t>no</t>
        </is>
      </c>
      <c r="D170" s="5">
        <f>IF(A170="","",MAX(E170,IF(ISNUMBER(I170),I170,0),IFERROR(IF(ISNUMBER(INDEX('iCoA Register'!$F:$F,MATCH(S170,'iCoA Register'!$AA:$AA,0))),INDEX('iCoA Register'!$F:$F,MATCH(S170,'iCoA Register'!$AA:$AA,0)),0),0)))</f>
        <v/>
      </c>
      <c r="E170" s="5">
        <f>IF(ISNUMBER(F170),MAX(DATE(2026,6,6),F170+7),"— awaiting the retest certificates —")</f>
        <v/>
      </c>
      <c r="F170" s="5" t="n">
        <v>46276</v>
      </c>
      <c r="G170" s="2" t="inlineStr">
        <is>
          <t>227-23-K-26</t>
        </is>
      </c>
      <c r="H170" s="2">
        <f>IFERROR(INDEX('iCoA Register'!$B:$B,MATCH("P060392|R",'iCoA Register'!$AA:$AA,0)),"—")</f>
        <v/>
      </c>
      <c r="I170" s="5">
        <f>IFERROR(INDEX('iCoA Register'!$D:$D,MATCH("P060392|R",'iCoA Register'!$AA:$AA,0)),"")</f>
        <v/>
      </c>
      <c r="J170" s="2" t="inlineStr">
        <is>
          <t>post-SOP</t>
        </is>
      </c>
      <c r="K170" s="2" t="inlineStr">
        <is>
          <t>retest — Tranche 3 (sampled 19–21.08.2026)</t>
        </is>
      </c>
      <c r="L170" s="3" t="inlineStr">
        <is>
          <t>FB012603V</t>
        </is>
      </c>
      <c r="M170" s="2" t="inlineStr">
        <is>
          <t>P060392</t>
        </is>
      </c>
      <c r="N170" s="2" t="inlineStr">
        <is>
          <t>Fat Bastard</t>
        </is>
      </c>
      <c r="O170" s="2" t="inlineStr">
        <is>
          <t>227-23-K-26, (11.09.2026) [FHM-K]</t>
        </is>
      </c>
      <c r="P170" s="6" t="inlineStr">
        <is>
          <t>—</t>
        </is>
      </c>
      <c r="Q170" s="2" t="inlineStr">
        <is>
          <t>—</t>
        </is>
      </c>
      <c r="R170" s="2" t="inlineStr">
        <is>
          <t>CoQ reissue (assigned on issue)</t>
        </is>
      </c>
      <c r="S170" s="2" t="inlineStr">
        <is>
          <t>P060392|R</t>
        </is>
      </c>
      <c r="T170" s="8" t="inlineStr">
        <is>
          <t>not yet issuable — sampled — retest assay on file, mycotoxins pending; iCoA tested 21.08.2026, issued 24.08.2026 · issued 7 days after the latest retest certificate once the assay, the mycotoxins and the iCoA exist</t>
        </is>
      </c>
      <c r="U170" s="2">
        <f>IFERROR(INDEX('CoQ Register'!$B:$B,MATCH("P060392|I",'CoQ Register'!$S:$S,0)),"— initial certificate not on the register —")</f>
        <v/>
      </c>
      <c r="V170" s="10" t="n">
        <v>19.31</v>
      </c>
      <c r="W170" s="2" t="inlineStr">
        <is>
          <t>227-23-К/26</t>
        </is>
      </c>
      <c r="X170" s="2" t="inlineStr">
        <is>
          <t>18.00 ± 1.80 (II)</t>
        </is>
      </c>
      <c r="Y170" s="2" t="inlineStr">
        <is>
          <t>16.20 – 19.79 %</t>
        </is>
      </c>
      <c r="Z170" s="2" t="inlineStr">
        <is>
          <t>FB_THC18 : CBD1</t>
        </is>
      </c>
      <c r="AA170" s="2" t="inlineStr">
        <is>
          <t>QCSP_001_FB-II_v.01</t>
        </is>
      </c>
      <c r="AB170" s="8" t="inlineStr">
        <is>
          <t>for review — replaces the issued QCSP_001_FB-II_v.01 (was FB_THC18 : CBD1, 17.15 – 18.85 %); now FB_THC18 : CBD1 16.20 – 19.79 %</t>
        </is>
      </c>
      <c r="AC170" s="11" t="inlineStr"/>
    </row>
    <row r="171">
      <c r="A171" s="2">
        <f>IF(C171="yes",COUNT(A$1:A170)+1,"")</f>
        <v/>
      </c>
      <c r="B171" s="3">
        <f>IF(A171&lt;&gt;"","CoQ-PP_26-"&amp;TEXT(A171,"000"),"— at issue —")</f>
        <v/>
      </c>
      <c r="C171" s="6" t="inlineStr">
        <is>
          <t>no</t>
        </is>
      </c>
      <c r="D171" s="5">
        <f>IF(A171="","",MAX(E171,IF(ISNUMBER(I171),I171,0),IFERROR(IF(ISNUMBER(INDEX('iCoA Register'!$F:$F,MATCH(S171,'iCoA Register'!$AA:$AA,0))),INDEX('iCoA Register'!$F:$F,MATCH(S171,'iCoA Register'!$AA:$AA,0)),0),0)))</f>
        <v/>
      </c>
      <c r="E171" s="5">
        <f>IF(ISNUMBER(F171),MAX(DATE(2026,6,6),F171+7),"— awaiting the retest certificates —")</f>
        <v/>
      </c>
      <c r="F171" s="5" t="inlineStr">
        <is>
          <t>— no retest certificate on file —</t>
        </is>
      </c>
      <c r="G171" s="2" t="inlineStr">
        <is>
          <t>—</t>
        </is>
      </c>
      <c r="H171" s="2">
        <f>IFERROR(INDEX('iCoA Register'!$B:$B,MATCH("P060482|R",'iCoA Register'!$AA:$AA,0)),"—")</f>
        <v/>
      </c>
      <c r="I171" s="5">
        <f>IFERROR(INDEX('iCoA Register'!$D:$D,MATCH("P060482|R",'iCoA Register'!$AA:$AA,0)),"")</f>
        <v/>
      </c>
      <c r="J171" s="2" t="inlineStr">
        <is>
          <t>post-SOP</t>
        </is>
      </c>
      <c r="K171" s="2" t="inlineStr">
        <is>
          <t>retest — not yet sampled</t>
        </is>
      </c>
      <c r="L171" s="3" t="inlineStr">
        <is>
          <t>JD022601</t>
        </is>
      </c>
      <c r="M171" s="2" t="inlineStr">
        <is>
          <t>P060482</t>
        </is>
      </c>
      <c r="N171" s="2" t="inlineStr">
        <is>
          <t>Jelly Donutz</t>
        </is>
      </c>
      <c r="O171" s="6" t="inlineStr">
        <is>
          <t>— retest assay not yet on file —</t>
        </is>
      </c>
      <c r="P171" s="6" t="inlineStr">
        <is>
          <t>—</t>
        </is>
      </c>
      <c r="Q171" s="2" t="inlineStr">
        <is>
          <t>—</t>
        </is>
      </c>
      <c r="R171" s="2" t="inlineStr">
        <is>
          <t>CoQ reissue (assigned on issue)</t>
        </is>
      </c>
      <c r="S171" s="2" t="inlineStr">
        <is>
          <t>P060482|R</t>
        </is>
      </c>
      <c r="T171" s="8" t="inlineStr">
        <is>
          <t>not yet issuable — pending — not yet sampled · issued 7 days after the latest retest certificate once the assay, the mycotoxins and the iCoA exist</t>
        </is>
      </c>
      <c r="U171" s="2">
        <f>IFERROR(INDEX('CoQ Register'!$B:$B,MATCH("P060482|I",'CoQ Register'!$S:$S,0)),"— initial certificate not on the register —")</f>
        <v/>
      </c>
      <c r="V171" s="2" t="inlineStr">
        <is>
          <t>—</t>
        </is>
      </c>
      <c r="W171" s="2" t="inlineStr">
        <is>
          <t>—</t>
        </is>
      </c>
      <c r="X171" s="2" t="inlineStr">
        <is>
          <t>—</t>
        </is>
      </c>
      <c r="Y171" s="2" t="inlineStr">
        <is>
          <t>—</t>
        </is>
      </c>
      <c r="Z171" s="2" t="inlineStr">
        <is>
          <t>—</t>
        </is>
      </c>
      <c r="AA171" s="2" t="inlineStr">
        <is>
          <t>—</t>
        </is>
      </c>
      <c r="AB171" s="11" t="inlineStr">
        <is>
          <t>—</t>
        </is>
      </c>
      <c r="AC171" s="8" t="inlineStr">
        <is>
          <t>no Total THC result on this certificate</t>
        </is>
      </c>
    </row>
    <row r="172">
      <c r="A172" s="2">
        <f>IF(C172="yes",COUNT(A$1:A171)+1,"")</f>
        <v/>
      </c>
      <c r="B172" s="3">
        <f>IF(A172&lt;&gt;"","CoQ-PP_26-"&amp;TEXT(A172,"000"),"— at issue —")</f>
        <v/>
      </c>
      <c r="C172" s="6" t="inlineStr">
        <is>
          <t>no</t>
        </is>
      </c>
      <c r="D172" s="5">
        <f>IF(A172="","",MAX(E172,IF(ISNUMBER(I172),I172,0),IFERROR(IF(ISNUMBER(INDEX('iCoA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227-7-K-26</t>
        </is>
      </c>
      <c r="H172" s="2">
        <f>IFERROR(INDEX('iCoA Register'!$B:$B,MATCH("P060442|R",'iCoA Register'!$AA:$AA,0)),"—")</f>
        <v/>
      </c>
      <c r="I172" s="5">
        <f>IFERROR(INDEX('iCoA Register'!$D:$D,MATCH("P060442|R",'iCoA Register'!$AA:$AA,0)),"")</f>
        <v/>
      </c>
      <c r="J172" s="2" t="inlineStr">
        <is>
          <t>post-SOP</t>
        </is>
      </c>
      <c r="K172" s="2" t="inlineStr">
        <is>
          <t>retest — Tranche 3 (sampled 19–21.08.2026)</t>
        </is>
      </c>
      <c r="L172" s="3" t="inlineStr">
        <is>
          <t>SCR022601</t>
        </is>
      </c>
      <c r="M172" s="2" t="inlineStr">
        <is>
          <t>P060442</t>
        </is>
      </c>
      <c r="N172" s="2" t="inlineStr">
        <is>
          <t>Scrambler</t>
        </is>
      </c>
      <c r="O172" s="2" t="inlineStr">
        <is>
          <t>227-7-K-26, (11.09.2026) [FHM-K]</t>
        </is>
      </c>
      <c r="P172" s="6" t="inlineStr">
        <is>
          <t>—</t>
        </is>
      </c>
      <c r="Q172" s="2" t="inlineStr">
        <is>
          <t>—</t>
        </is>
      </c>
      <c r="R172" s="2" t="inlineStr">
        <is>
          <t>CoQ reissue (assigned on issue)</t>
        </is>
      </c>
      <c r="S172" s="2" t="inlineStr">
        <is>
          <t>P060442|R</t>
        </is>
      </c>
      <c r="T172" s="8" t="inlineStr">
        <is>
          <t>not yet issuable — sampled — retest assay on file, mycotoxins pending; iCoA tested 19.08.2026, issued 24.08.2026 · issued 7 days after the latest retest certificate once the assay, the mycotoxins and the iCoA exist</t>
        </is>
      </c>
      <c r="U172" s="2">
        <f>IFERROR(INDEX('CoQ Register'!$B:$B,MATCH("P060442|I",'CoQ Register'!$S:$S,0)),"— initial certificate not on the register —")</f>
        <v/>
      </c>
      <c r="V172" s="10" t="n">
        <v>16.68</v>
      </c>
      <c r="W172" s="2" t="inlineStr">
        <is>
          <t>227-7-К/26</t>
        </is>
      </c>
      <c r="X172" s="2" t="inlineStr">
        <is>
          <t>18.00 ± 1.80 (II)</t>
        </is>
      </c>
      <c r="Y172" s="2" t="inlineStr">
        <is>
          <t>16.20 – 19.79 %</t>
        </is>
      </c>
      <c r="Z172" s="2" t="inlineStr">
        <is>
          <t>SCR_THC18 : CBD1</t>
        </is>
      </c>
      <c r="AA172" s="2" t="inlineStr">
        <is>
          <t>QCSP_001_SCR-II_v.01</t>
        </is>
      </c>
      <c r="AB172" s="8" t="inlineStr">
        <is>
          <t>for review — replaces the issued QCSP_001_SCR-II_v.01 (was SCR_THC18 : CBD1, 16.20 – 19.80 %); now SCR_THC18 : CBD1 16.20 – 19.79 %</t>
        </is>
      </c>
      <c r="AC172" s="11" t="inlineStr"/>
    </row>
    <row r="173">
      <c r="A173" s="2">
        <f>IF(C173="yes",COUNT(A$1:A172)+1,"")</f>
        <v/>
      </c>
      <c r="B173" s="3">
        <f>IF(A173&lt;&gt;"","CoQ-PP_26-"&amp;TEXT(A173,"000"),"— at issue —")</f>
        <v/>
      </c>
      <c r="C173" s="6" t="inlineStr">
        <is>
          <t>no</t>
        </is>
      </c>
      <c r="D173" s="5">
        <f>IF(A173="","",MAX(E173,IF(ISNUMBER(I173),I173,0),IFERROR(IF(ISNUMBER(INDEX('iCoA Register'!$F:$F,MATCH(S173,'iCoA Register'!$AA:$AA,0))),INDEX('iCoA Register'!$F:$F,MATCH(S173,'iCoA Register'!$AA:$AA,0)),0),0)))</f>
        <v/>
      </c>
      <c r="E173" s="5">
        <f>IF(ISNUMBER(F173),MAX(DATE(2026,6,6),F173+7),"— awaiting the retest certificates —")</f>
        <v/>
      </c>
      <c r="F173" s="5" t="inlineStr">
        <is>
          <t>— no retest certificate on file —</t>
        </is>
      </c>
      <c r="G173" s="2" t="inlineStr">
        <is>
          <t>—</t>
        </is>
      </c>
      <c r="H173" s="2">
        <f>IFERROR(INDEX('iCoA Register'!$B:$B,MATCH("P160012|R",'iCoA Register'!$AA:$AA,0)),"—")</f>
        <v/>
      </c>
      <c r="I173" s="5">
        <f>IFERROR(INDEX('iCoA Register'!$D:$D,MATCH("P160012|R",'iCoA Register'!$AA:$AA,0)),"")</f>
        <v/>
      </c>
      <c r="J173" s="2" t="inlineStr">
        <is>
          <t>—</t>
        </is>
      </c>
      <c r="K173" s="2" t="inlineStr">
        <is>
          <t>retest — not yet sampled</t>
        </is>
      </c>
      <c r="L173" s="3" t="inlineStr">
        <is>
          <t>— not recorded — (P160012)</t>
        </is>
      </c>
      <c r="M173" s="2" t="inlineStr">
        <is>
          <t>P160012</t>
        </is>
      </c>
      <c r="N173" s="2" t="inlineStr"/>
      <c r="O173" s="6" t="inlineStr">
        <is>
          <t>— retest assay not yet on file —</t>
        </is>
      </c>
      <c r="P173" s="6" t="inlineStr">
        <is>
          <t>—</t>
        </is>
      </c>
      <c r="Q173" s="2" t="inlineStr">
        <is>
          <t>—</t>
        </is>
      </c>
      <c r="R173" s="2" t="inlineStr">
        <is>
          <t>CoQ reissue (assigned on issue)</t>
        </is>
      </c>
      <c r="S173" s="2" t="inlineStr">
        <is>
          <t>P160012|R</t>
        </is>
      </c>
      <c r="T173" s="8" t="inlineStr">
        <is>
          <t>not yet issuable — initial certificate withheld — pending — not yet sampled · issued 7 days after the latest retest certificate once the assay, the mycotoxins and the iCoA exist</t>
        </is>
      </c>
      <c r="U173" s="2">
        <f>IFERROR(INDEX('CoQ Register'!$B:$B,MATCH("P160012|I",'CoQ Register'!$S:$S,0)),"— initial certificate not on the register —")</f>
        <v/>
      </c>
      <c r="V173" s="2" t="inlineStr">
        <is>
          <t>—</t>
        </is>
      </c>
      <c r="W173" s="2" t="inlineStr">
        <is>
          <t>—</t>
        </is>
      </c>
      <c r="X173" s="2" t="inlineStr">
        <is>
          <t>—</t>
        </is>
      </c>
      <c r="Y173" s="2" t="inlineStr">
        <is>
          <t>—</t>
        </is>
      </c>
      <c r="Z173" s="2" t="inlineStr">
        <is>
          <t>—</t>
        </is>
      </c>
      <c r="AA173" s="2" t="inlineStr">
        <is>
          <t>—</t>
        </is>
      </c>
      <c r="AB173" s="11" t="inlineStr">
        <is>
          <t>—</t>
        </is>
      </c>
      <c r="AC173" s="8" t="inlineStr">
        <is>
          <t>strain not in the potency specification of 15.09.2026</t>
        </is>
      </c>
    </row>
    <row r="174">
      <c r="A174" s="2">
        <f>IF(C174="yes",COUNT(A$1:A173)+1,"")</f>
        <v/>
      </c>
      <c r="B174" s="3">
        <f>IF(A174&lt;&gt;"","CoQ-PP_26-"&amp;TEXT(A174,"000"),"— at issue —")</f>
        <v/>
      </c>
      <c r="C174" s="6" t="inlineStr">
        <is>
          <t>no</t>
        </is>
      </c>
      <c r="D174" s="5">
        <f>IF(A174="","",MAX(E174,IF(ISNUMBER(I174),I174,0),IFERROR(IF(ISNUMBER(INDEX('iCoA Register'!$F:$F,MATCH(S174,'iCoA Register'!$AA:$AA,0))),INDEX('iCoA Register'!$F:$F,MATCH(S174,'iCoA Register'!$AA:$AA,0)),0),0)))</f>
        <v/>
      </c>
      <c r="E174" s="5">
        <f>IF(ISNUMBER(F174),MAX(DATE(2026,6,6),F174+7),"— awaiting the retest certificates —")</f>
        <v/>
      </c>
      <c r="F174" s="5" t="inlineStr">
        <is>
          <t>— no retest certificate on file —</t>
        </is>
      </c>
      <c r="G174" s="2" t="inlineStr">
        <is>
          <t>—</t>
        </is>
      </c>
      <c r="H174" s="2">
        <f>IFERROR(INDEX('iCoA Register'!$B:$B,MATCH("P160022|R",'iCoA Register'!$AA:$AA,0)),"—")</f>
        <v/>
      </c>
      <c r="I174" s="5">
        <f>IFERROR(INDEX('iCoA Register'!$D:$D,MATCH("P160022|R",'iCoA Register'!$AA:$AA,0)),"")</f>
        <v/>
      </c>
      <c r="J174" s="2" t="inlineStr">
        <is>
          <t>—</t>
        </is>
      </c>
      <c r="K174" s="2" t="inlineStr">
        <is>
          <t>retest — not yet sampled</t>
        </is>
      </c>
      <c r="L174" s="3" t="inlineStr">
        <is>
          <t>— not recorded — (P160022)</t>
        </is>
      </c>
      <c r="M174" s="2" t="inlineStr">
        <is>
          <t>P160022</t>
        </is>
      </c>
      <c r="N174" s="2" t="inlineStr"/>
      <c r="O174" s="6" t="inlineStr">
        <is>
          <t>— retest assay not yet on file —</t>
        </is>
      </c>
      <c r="P174" s="6" t="inlineStr">
        <is>
          <t>—</t>
        </is>
      </c>
      <c r="Q174" s="2" t="inlineStr">
        <is>
          <t>—</t>
        </is>
      </c>
      <c r="R174" s="2" t="inlineStr">
        <is>
          <t>CoQ reissue (assigned on issue)</t>
        </is>
      </c>
      <c r="S174" s="2" t="inlineStr">
        <is>
          <t>P160022|R</t>
        </is>
      </c>
      <c r="T174" s="8" t="inlineStr">
        <is>
          <t>not yet issuable — initial certificate withheld — pending — not yet sampled · issued 7 days after the latest retest certificate once the assay, the mycotoxins and the iCoA exist</t>
        </is>
      </c>
      <c r="U174" s="2">
        <f>IFERROR(INDEX('CoQ Register'!$B:$B,MATCH("P160022|I",'CoQ Register'!$S:$S,0)),"— initial certificate not on the register —")</f>
        <v/>
      </c>
      <c r="V174" s="2" t="inlineStr">
        <is>
          <t>—</t>
        </is>
      </c>
      <c r="W174" s="2" t="inlineStr">
        <is>
          <t>—</t>
        </is>
      </c>
      <c r="X174" s="2" t="inlineStr">
        <is>
          <t>—</t>
        </is>
      </c>
      <c r="Y174" s="2" t="inlineStr">
        <is>
          <t>—</t>
        </is>
      </c>
      <c r="Z174" s="2" t="inlineStr">
        <is>
          <t>—</t>
        </is>
      </c>
      <c r="AA174" s="2" t="inlineStr">
        <is>
          <t>—</t>
        </is>
      </c>
      <c r="AB174" s="11" t="inlineStr">
        <is>
          <t>—</t>
        </is>
      </c>
      <c r="AC174" s="8" t="inlineStr">
        <is>
          <t>strain not in the potency specification of 15.09.2026</t>
        </is>
      </c>
    </row>
    <row r="175">
      <c r="A175" s="2">
        <f>IF(C175="yes",COUNT(A$1:A174)+1,"")</f>
        <v/>
      </c>
      <c r="B175" s="3">
        <f>IF(A175&lt;&gt;"","CoQ-PP_26-"&amp;TEXT(A175,"000"),"— at issue —")</f>
        <v/>
      </c>
      <c r="C175" s="6" t="inlineStr">
        <is>
          <t>no</t>
        </is>
      </c>
      <c r="D175" s="5">
        <f>IF(A175="","",MAX(E175,IF(ISNUMBER(I175),I175,0),IFERROR(IF(ISNUMBER(INDEX('iCoA Register'!$F:$F,MATCH(S175,'iCoA Register'!$AA:$AA,0))),INDEX('iCoA Register'!$F:$F,MATCH(S175,'iCoA Register'!$AA:$AA,0)),0),0)))</f>
        <v/>
      </c>
      <c r="E175" s="5">
        <f>IF(ISNUMBER(F175),MAX(DATE(2026,6,6),F175+7),"— awaiting the retest certificates —")</f>
        <v/>
      </c>
      <c r="F175" s="5" t="inlineStr">
        <is>
          <t>— no retest certificate on file —</t>
        </is>
      </c>
      <c r="G175" s="2" t="inlineStr">
        <is>
          <t>—</t>
        </is>
      </c>
      <c r="H175" s="2">
        <f>IFERROR(INDEX('iCoA Register'!$B:$B,MATCH("P160032|R",'iCoA Register'!$AA:$AA,0)),"—")</f>
        <v/>
      </c>
      <c r="I175" s="5">
        <f>IFERROR(INDEX('iCoA Register'!$D:$D,MATCH("P160032|R",'iCoA Register'!$AA:$AA,0)),"")</f>
        <v/>
      </c>
      <c r="J175" s="2" t="inlineStr">
        <is>
          <t>—</t>
        </is>
      </c>
      <c r="K175" s="2" t="inlineStr">
        <is>
          <t>retest — not yet sampled</t>
        </is>
      </c>
      <c r="L175" s="3" t="inlineStr">
        <is>
          <t>— not recorded — (P160032)</t>
        </is>
      </c>
      <c r="M175" s="2" t="inlineStr">
        <is>
          <t>P160032</t>
        </is>
      </c>
      <c r="N175" s="2" t="inlineStr"/>
      <c r="O175" s="6" t="inlineStr">
        <is>
          <t>— retest assay not yet on file —</t>
        </is>
      </c>
      <c r="P175" s="6" t="inlineStr">
        <is>
          <t>—</t>
        </is>
      </c>
      <c r="Q175" s="2" t="inlineStr">
        <is>
          <t>—</t>
        </is>
      </c>
      <c r="R175" s="2" t="inlineStr">
        <is>
          <t>CoQ reissue (assigned on issue)</t>
        </is>
      </c>
      <c r="S175" s="2" t="inlineStr">
        <is>
          <t>P160032|R</t>
        </is>
      </c>
      <c r="T175" s="8" t="inlineStr">
        <is>
          <t>not yet issuable — initial certificate withheld — pending — not yet sampled · issued 7 days after the latest retest certificate once the assay, the mycotoxins and the iCoA exist</t>
        </is>
      </c>
      <c r="U175" s="2">
        <f>IFERROR(INDEX('CoQ Register'!$B:$B,MATCH("P160032|I",'CoQ Register'!$S:$S,0)),"— initial certificate not on the register —")</f>
        <v/>
      </c>
      <c r="V175" s="2" t="inlineStr">
        <is>
          <t>—</t>
        </is>
      </c>
      <c r="W175" s="2" t="inlineStr">
        <is>
          <t>—</t>
        </is>
      </c>
      <c r="X175" s="2" t="inlineStr">
        <is>
          <t>—</t>
        </is>
      </c>
      <c r="Y175" s="2" t="inlineStr">
        <is>
          <t>—</t>
        </is>
      </c>
      <c r="Z175" s="2" t="inlineStr">
        <is>
          <t>—</t>
        </is>
      </c>
      <c r="AA175" s="2" t="inlineStr">
        <is>
          <t>—</t>
        </is>
      </c>
      <c r="AB175" s="11" t="inlineStr">
        <is>
          <t>—</t>
        </is>
      </c>
      <c r="AC175" s="8" t="inlineStr">
        <is>
          <t>strain not in the potency specification of 15.09.2026</t>
        </is>
      </c>
    </row>
    <row r="176">
      <c r="A176" s="2">
        <f>IF(C176="yes",COUNT(A$1:A175)+1,"")</f>
        <v/>
      </c>
      <c r="B176" s="3">
        <f>IF(A176&lt;&gt;"","CoQ-PP_26-"&amp;TEXT(A176,"000"),"— at issue —")</f>
        <v/>
      </c>
      <c r="C176" s="6" t="inlineStr">
        <is>
          <t>no</t>
        </is>
      </c>
      <c r="D176" s="5">
        <f>IF(A176="","",MAX(E176,IF(ISNUMBER(I176),I176,0),IFERROR(IF(ISNUMBER(INDEX('iCoA Register'!$F:$F,MATCH(S176,'iCoA Register'!$AA:$AA,0))),INDEX('iCoA Register'!$F:$F,MATCH(S176,'iCoA Register'!$AA:$AA,0)),0),0)))</f>
        <v/>
      </c>
      <c r="E176" s="5">
        <f>IF(ISNUMBER(F176),MAX(DATE(2026,6,6),F176+7),"— awaiting the retest certificates —")</f>
        <v/>
      </c>
      <c r="F176" s="5" t="inlineStr">
        <is>
          <t>— no retest certificate on file —</t>
        </is>
      </c>
      <c r="G176" s="2" t="inlineStr">
        <is>
          <t>—</t>
        </is>
      </c>
      <c r="H176" s="2">
        <f>IFERROR(INDEX('iCoA Register'!$B:$B,MATCH("P060452|R",'iCoA Register'!$AA:$AA,0)),"—")</f>
        <v/>
      </c>
      <c r="I176" s="5">
        <f>IFERROR(INDEX('iCoA Register'!$D:$D,MATCH("P060452|R",'iCoA Register'!$AA:$AA,0)),"")</f>
        <v/>
      </c>
      <c r="J176" s="2" t="inlineStr">
        <is>
          <t>post-SOP</t>
        </is>
      </c>
      <c r="K176" s="2" t="inlineStr">
        <is>
          <t>retest — not yet sampled</t>
        </is>
      </c>
      <c r="L176" s="3" t="inlineStr">
        <is>
          <t>FB032601</t>
        </is>
      </c>
      <c r="M176" s="2" t="inlineStr">
        <is>
          <t>P060452</t>
        </is>
      </c>
      <c r="N176" s="2" t="inlineStr">
        <is>
          <t>Fat Bastard</t>
        </is>
      </c>
      <c r="O176" s="6" t="inlineStr">
        <is>
          <t>— retest assay not yet on file —</t>
        </is>
      </c>
      <c r="P176" s="6" t="inlineStr">
        <is>
          <t>—</t>
        </is>
      </c>
      <c r="Q176" s="2" t="inlineStr">
        <is>
          <t>—</t>
        </is>
      </c>
      <c r="R176" s="2" t="inlineStr">
        <is>
          <t>CoQ reissue (assigned on issue)</t>
        </is>
      </c>
      <c r="S176" s="2" t="inlineStr">
        <is>
          <t>P060452|R</t>
        </is>
      </c>
      <c r="T176" s="8" t="inlineStr">
        <is>
          <t>not yet issuable — pending — not yet sampled · issued 7 days after the latest retest certificate once the assay, the mycotoxins and the iCoA exist</t>
        </is>
      </c>
      <c r="U176" s="2">
        <f>IFERROR(INDEX('CoQ Register'!$B:$B,MATCH("P060452|I",'CoQ Register'!$S:$S,0)),"— initial certificate not on the register —")</f>
        <v/>
      </c>
      <c r="V176" s="2" t="inlineStr">
        <is>
          <t>—</t>
        </is>
      </c>
      <c r="W176" s="2" t="inlineStr">
        <is>
          <t>—</t>
        </is>
      </c>
      <c r="X176" s="2" t="inlineStr">
        <is>
          <t>—</t>
        </is>
      </c>
      <c r="Y176" s="2" t="inlineStr">
        <is>
          <t>—</t>
        </is>
      </c>
      <c r="Z176" s="2" t="inlineStr">
        <is>
          <t>—</t>
        </is>
      </c>
      <c r="AA176" s="2" t="inlineStr">
        <is>
          <t>—</t>
        </is>
      </c>
      <c r="AB176" s="11" t="inlineStr">
        <is>
          <t>—</t>
        </is>
      </c>
      <c r="AC176" s="8" t="inlineStr">
        <is>
          <t>no Total THC result on this certificate</t>
        </is>
      </c>
    </row>
    <row r="177">
      <c r="A177" s="2">
        <f>IF(C177="yes",COUNT(A$1:A176)+1,"")</f>
        <v/>
      </c>
      <c r="B177" s="3">
        <f>IF(A177&lt;&gt;"","CoQ-PP_26-"&amp;TEXT(A177,"000"),"— at issue —")</f>
        <v/>
      </c>
      <c r="C177" s="6" t="inlineStr">
        <is>
          <t>no</t>
        </is>
      </c>
      <c r="D177" s="5">
        <f>IF(A177="","",MAX(E177,IF(ISNUMBER(I177),I177,0),IFERROR(IF(ISNUMBER(INDEX('iCoA Register'!$F:$F,MATCH(S177,'iCoA Register'!$AA:$AA,0))),INDEX('iCoA Register'!$F:$F,MATCH(S177,'iCoA Register'!$AA:$AA,0)),0),0)))</f>
        <v/>
      </c>
      <c r="E177" s="5">
        <f>IF(ISNUMBER(F177),MAX(DATE(2026,6,6),F177+7),"— awaiting the retest certificates —")</f>
        <v/>
      </c>
      <c r="F177" s="5" t="inlineStr">
        <is>
          <t>— no retest certificate on file —</t>
        </is>
      </c>
      <c r="G177" s="2" t="inlineStr">
        <is>
          <t>—</t>
        </is>
      </c>
      <c r="H177" s="2">
        <f>IFERROR(INDEX('iCoA Register'!$B:$B,MATCH("P060462|R",'iCoA Register'!$AA:$AA,0)),"—")</f>
        <v/>
      </c>
      <c r="I177" s="5">
        <f>IFERROR(INDEX('iCoA Register'!$D:$D,MATCH("P060462|R",'iCoA Register'!$AA:$AA,0)),"")</f>
        <v/>
      </c>
      <c r="J177" s="2" t="inlineStr">
        <is>
          <t>post-SOP</t>
        </is>
      </c>
      <c r="K177" s="2" t="inlineStr">
        <is>
          <t>retest — not yet sampled</t>
        </is>
      </c>
      <c r="L177" s="3" t="inlineStr">
        <is>
          <t>GG032601</t>
        </is>
      </c>
      <c r="M177" s="2" t="inlineStr">
        <is>
          <t>P060462</t>
        </is>
      </c>
      <c r="N177" s="2" t="inlineStr">
        <is>
          <t>Gorilla Glue</t>
        </is>
      </c>
      <c r="O177" s="6" t="inlineStr">
        <is>
          <t>— retest assay not yet on file —</t>
        </is>
      </c>
      <c r="P177" s="6" t="inlineStr">
        <is>
          <t>—</t>
        </is>
      </c>
      <c r="Q177" s="2" t="inlineStr">
        <is>
          <t>—</t>
        </is>
      </c>
      <c r="R177" s="2" t="inlineStr">
        <is>
          <t>CoQ reissue (assigned on issue)</t>
        </is>
      </c>
      <c r="S177" s="2" t="inlineStr">
        <is>
          <t>P060462|R</t>
        </is>
      </c>
      <c r="T177" s="8" t="inlineStr">
        <is>
          <t>not yet issuable — pending — not yet sampled · issued 7 days after the latest retest certificate once the assay, the mycotoxins and the iCoA exist</t>
        </is>
      </c>
      <c r="U177" s="2">
        <f>IFERROR(INDEX('CoQ Register'!$B:$B,MATCH("P060462|I",'CoQ Register'!$S:$S,0)),"— initial certificate not on the register —")</f>
        <v/>
      </c>
      <c r="V177" s="2" t="inlineStr">
        <is>
          <t>—</t>
        </is>
      </c>
      <c r="W177" s="2" t="inlineStr">
        <is>
          <t>—</t>
        </is>
      </c>
      <c r="X177" s="2" t="inlineStr">
        <is>
          <t>—</t>
        </is>
      </c>
      <c r="Y177" s="2" t="inlineStr">
        <is>
          <t>—</t>
        </is>
      </c>
      <c r="Z177" s="2" t="inlineStr">
        <is>
          <t>—</t>
        </is>
      </c>
      <c r="AA177" s="2" t="inlineStr">
        <is>
          <t>—</t>
        </is>
      </c>
      <c r="AB177" s="11" t="inlineStr">
        <is>
          <t>—</t>
        </is>
      </c>
      <c r="AC177" s="8" t="inlineStr">
        <is>
          <t>no Total THC result on this certificate</t>
        </is>
      </c>
    </row>
    <row r="178">
      <c r="A178" s="2">
        <f>IF(C178="yes",COUNT(A$1:A177)+1,"")</f>
        <v/>
      </c>
      <c r="B178" s="3">
        <f>IF(A178&lt;&gt;"","CoQ-PP_26-"&amp;TEXT(A178,"000"),"— at issue —")</f>
        <v/>
      </c>
      <c r="C178" s="6" t="inlineStr">
        <is>
          <t>no</t>
        </is>
      </c>
      <c r="D178" s="5">
        <f>IF(A178="","",MAX(E178,IF(ISNUMBER(I178),I178,0),IFERROR(IF(ISNUMBER(INDEX('iCoA Register'!$F:$F,MATCH(S178,'iCoA Register'!$AA:$AA,0))),INDEX('iCoA Register'!$F:$F,MATCH(S178,'iCoA Register'!$AA:$AA,0)),0),0)))</f>
        <v/>
      </c>
      <c r="E178" s="5">
        <f>IF(ISNUMBER(F178),MAX(DATE(2026,6,6),F178+7),"— awaiting the retest certificates —")</f>
        <v/>
      </c>
      <c r="F178" s="5" t="n">
        <v>46276</v>
      </c>
      <c r="G178" s="2" t="inlineStr">
        <is>
          <t>220-32-M-26</t>
        </is>
      </c>
      <c r="H178" s="2">
        <f>IFERROR(INDEX('iCoA Register'!$B:$B,MATCH("CC042601|R",'iCoA Register'!$AA:$AA,0)),"—")</f>
        <v/>
      </c>
      <c r="I178" s="5">
        <f>IFERROR(INDEX('iCoA Register'!$D:$D,MATCH("CC042601|R",'iCoA Register'!$AA:$AA,0)),"")</f>
        <v/>
      </c>
      <c r="J178" s="2" t="inlineStr">
        <is>
          <t>—</t>
        </is>
      </c>
      <c r="K178" s="2" t="inlineStr">
        <is>
          <t>retest — Tranche 2 (sampled 12–14.08.2026)</t>
        </is>
      </c>
      <c r="L178" s="3" t="inlineStr">
        <is>
          <t>CC042601</t>
        </is>
      </c>
      <c r="M178" s="2" t="inlineStr">
        <is>
          <t>N/A — no P batch assigned</t>
        </is>
      </c>
      <c r="N178" s="2" t="inlineStr">
        <is>
          <t>Cash Cow</t>
        </is>
      </c>
      <c r="O178" s="2" t="inlineStr">
        <is>
          <t>220-32-K-26, (26.08.2026) [FHM-K]</t>
        </is>
      </c>
      <c r="P178" s="6" t="inlineStr">
        <is>
          <t>—</t>
        </is>
      </c>
      <c r="Q178" s="2" t="inlineStr">
        <is>
          <t>—</t>
        </is>
      </c>
      <c r="R178" s="2" t="inlineStr">
        <is>
          <t>CoQ reissue (assigned on issue)</t>
        </is>
      </c>
      <c r="S178" s="2" t="inlineStr">
        <is>
          <t>CC042601|R</t>
        </is>
      </c>
      <c r="T178" s="8" t="inlineStr">
        <is>
          <t>not yet issuable — initial certificate withheld — due — retest assay and mycotoxins on file; iCoA tested 14.08.2026, issued 17.08.2026 · issued 7 days after the latest retest certificate once the assay, the mycotoxins and the iCoA exist</t>
        </is>
      </c>
      <c r="U178" s="2">
        <f>IFERROR(INDEX('CoQ Register'!$B:$B,MATCH("CC042601|I",'CoQ Register'!$S:$S,0)),"— initial certificate not on the register —")</f>
        <v/>
      </c>
      <c r="V178" s="10" t="n">
        <v>14.9</v>
      </c>
      <c r="W178" s="2" t="inlineStr">
        <is>
          <t>220-32-К/26</t>
        </is>
      </c>
      <c r="X178" s="2" t="inlineStr">
        <is>
          <t>14.00 ± 1.35 (II)</t>
        </is>
      </c>
      <c r="Y178" s="2" t="inlineStr">
        <is>
          <t>12.65 – 15.34 %</t>
        </is>
      </c>
      <c r="Z178" s="2" t="inlineStr">
        <is>
          <t>CC_THC14 : CBD1</t>
        </is>
      </c>
      <c r="AA178" s="2" t="inlineStr">
        <is>
          <t>QCSP_001_CC-II_v.01</t>
        </is>
      </c>
      <c r="AB178" s="8" t="inlineStr">
        <is>
          <t>for review — replaces the issued QCSP_001_CC-II_v.01 (was CC_THC14 : CBD1, 12.60 – 15.40 %); now CC_THC14 : CBD1 12.65 – 15.34 %</t>
        </is>
      </c>
      <c r="AC178" s="11" t="inlineStr"/>
    </row>
    <row r="179">
      <c r="A179" s="2">
        <f>IF(C179="yes",COUNT(A$1:A178)+1,"")</f>
        <v/>
      </c>
      <c r="B179" s="3">
        <f>IF(A179&lt;&gt;"","CoQ-PP_26-"&amp;TEXT(A179,"000"),"— at issue —")</f>
        <v/>
      </c>
      <c r="C179" s="6" t="inlineStr">
        <is>
          <t>no</t>
        </is>
      </c>
      <c r="D179" s="5">
        <f>IF(A179="","",MAX(E179,IF(ISNUMBER(I179),I179,0),IFERROR(IF(ISNUMBER(INDEX('iCoA Register'!$F:$F,MATCH(S179,'iCoA Register'!$AA:$AA,0))),INDEX('iCoA Register'!$F:$F,MATCH(S179,'iCoA Register'!$AA:$AA,0)),0),0)))</f>
        <v/>
      </c>
      <c r="E179" s="5">
        <f>IF(ISNUMBER(F179),MAX(DATE(2026,6,6),F179+7),"— awaiting the retest certificates —")</f>
        <v/>
      </c>
      <c r="F179" s="5" t="n">
        <v>46276</v>
      </c>
      <c r="G179" s="2" t="inlineStr">
        <is>
          <t>220-31-M-26</t>
        </is>
      </c>
      <c r="H179" s="2">
        <f>IFERROR(INDEX('iCoA Register'!$B:$B,MATCH("FB042601|R",'iCoA Register'!$AA:$AA,0)),"—")</f>
        <v/>
      </c>
      <c r="I179" s="5">
        <f>IFERROR(INDEX('iCoA Register'!$D:$D,MATCH("FB042601|R",'iCoA Register'!$AA:$AA,0)),"")</f>
        <v/>
      </c>
      <c r="J179" s="2" t="inlineStr">
        <is>
          <t>—</t>
        </is>
      </c>
      <c r="K179" s="2" t="inlineStr">
        <is>
          <t>retest — Tranche 2 (sampled 12–14.08.2026)</t>
        </is>
      </c>
      <c r="L179" s="3" t="inlineStr">
        <is>
          <t>FB042601</t>
        </is>
      </c>
      <c r="M179" s="2" t="inlineStr">
        <is>
          <t>N/A — no P batch assigned</t>
        </is>
      </c>
      <c r="N179" s="2" t="inlineStr">
        <is>
          <t>Fat Bastard</t>
        </is>
      </c>
      <c r="O179" s="2" t="inlineStr">
        <is>
          <t>220-31-K-26, (26.08.2026) [FHM-K]</t>
        </is>
      </c>
      <c r="P179" s="6" t="inlineStr">
        <is>
          <t>—</t>
        </is>
      </c>
      <c r="Q179" s="2" t="inlineStr">
        <is>
          <t>—</t>
        </is>
      </c>
      <c r="R179" s="2" t="inlineStr">
        <is>
          <t>CoQ reissue (assigned on issue)</t>
        </is>
      </c>
      <c r="S179" s="2" t="inlineStr">
        <is>
          <t>FB042601|R</t>
        </is>
      </c>
      <c r="T179" s="8" t="inlineStr">
        <is>
          <t>not yet issuable — initial certificate withheld — due — retest assay and mycotoxins on file; iCoA tested 14.08.2026, issued 17.08.2026 · issued 7 days after the latest retest certificate once the assay, the mycotoxins and the iCoA exist</t>
        </is>
      </c>
      <c r="U179" s="2">
        <f>IFERROR(INDEX('CoQ Register'!$B:$B,MATCH("FB042601|I",'CoQ Register'!$S:$S,0)),"— initial certificate not on the register —")</f>
        <v/>
      </c>
      <c r="V179" s="10" t="n">
        <v>14.99</v>
      </c>
      <c r="W179" s="2" t="inlineStr">
        <is>
          <t>220-31-К/26</t>
        </is>
      </c>
      <c r="X179" s="2" t="inlineStr">
        <is>
          <t>15.00 ± 1.20 (III)</t>
        </is>
      </c>
      <c r="Y179" s="2" t="inlineStr">
        <is>
          <t>13.80 – 16.19 %</t>
        </is>
      </c>
      <c r="Z179" s="2" t="inlineStr">
        <is>
          <t>FB_THC15 : CBD1</t>
        </is>
      </c>
      <c r="AA179" s="2" t="inlineStr">
        <is>
          <t>QCSP_001_FB-III_v.01</t>
        </is>
      </c>
      <c r="AB179" s="8" t="inlineStr">
        <is>
          <t>for review — replaces the issued QCSP_001_FB-III_v.01 (was FB_THC16 : CBD1, 14.86 – 17.14 %); now FB_THC15 : CBD1 13.80 – 16.19 %</t>
        </is>
      </c>
      <c r="AC179" s="11" t="inlineStr"/>
    </row>
    <row r="180">
      <c r="A180" s="2">
        <f>IF(C180="yes",COUNT(A$1:A179)+1,"")</f>
        <v/>
      </c>
      <c r="B180" s="3">
        <f>IF(A180&lt;&gt;"","CoQ-PP_26-"&amp;TEXT(A180,"000"),"— at issue —")</f>
        <v/>
      </c>
      <c r="C180" s="6" t="inlineStr">
        <is>
          <t>no</t>
        </is>
      </c>
      <c r="D180" s="5">
        <f>IF(A180="","",MAX(E180,IF(ISNUMBER(I180),I180,0),IFERROR(IF(ISNUMBER(INDEX('iCoA Register'!$F:$F,MATCH(S180,'iCoA Register'!$AA:$AA,0))),INDEX('iCoA Register'!$F:$F,MATCH(S180,'iCoA Register'!$AA:$AA,0)),0),0)))</f>
        <v/>
      </c>
      <c r="E180" s="5">
        <f>IF(ISNUMBER(F180),MAX(DATE(2026,6,6),F180+7),"— awaiting the retest certificates —")</f>
        <v/>
      </c>
      <c r="F180" s="5" t="n">
        <v>46276</v>
      </c>
      <c r="G180" s="2" t="inlineStr">
        <is>
          <t>227-8-K-26</t>
        </is>
      </c>
      <c r="H180" s="2">
        <f>IFERROR(INDEX('iCoA Register'!$B:$B,MATCH("P060342|R",'iCoA Register'!$AA:$AA,0)),"—")</f>
        <v/>
      </c>
      <c r="I180" s="5">
        <f>IFERROR(INDEX('iCoA Register'!$D:$D,MATCH("P060342|R",'iCoA Register'!$AA:$AA,0)),"")</f>
        <v/>
      </c>
      <c r="J180" s="2" t="inlineStr">
        <is>
          <t>post-SOP</t>
        </is>
      </c>
      <c r="K180" s="2" t="inlineStr">
        <is>
          <t>retest — Tranche 3 (sampled 19–21.08.2026)</t>
        </is>
      </c>
      <c r="L180" s="3" t="inlineStr">
        <is>
          <t>SCR012601*</t>
        </is>
      </c>
      <c r="M180" s="2" t="inlineStr">
        <is>
          <t>P060342</t>
        </is>
      </c>
      <c r="N180" s="2" t="inlineStr">
        <is>
          <t>Scrambler</t>
        </is>
      </c>
      <c r="O180" s="2" t="inlineStr">
        <is>
          <t>227-8-K-26, (11.09.2026) [FHM-K]</t>
        </is>
      </c>
      <c r="P180" s="6" t="inlineStr">
        <is>
          <t>—</t>
        </is>
      </c>
      <c r="Q180" s="2" t="inlineStr">
        <is>
          <t>—</t>
        </is>
      </c>
      <c r="R180" s="2" t="inlineStr">
        <is>
          <t>CoQ reissue (assigned on issue)</t>
        </is>
      </c>
      <c r="S180" s="2" t="inlineStr">
        <is>
          <t>P060342|R</t>
        </is>
      </c>
      <c r="T180" s="8" t="inlineStr">
        <is>
          <t>not yet issuable — sampled — retest assay on file, mycotoxins pending; iCoA tested 19.08.2026, issued 24.08.2026 · issued 7 days after the latest retest certificate once the assay, the mycotoxins and the iCoA exist</t>
        </is>
      </c>
      <c r="U180" s="2">
        <f>IFERROR(INDEX('CoQ Register'!$B:$B,MATCH("P060342|I",'CoQ Register'!$S:$S,0)),"— initial certificate not on the register —")</f>
        <v/>
      </c>
      <c r="V180" s="10" t="n">
        <v>22.4</v>
      </c>
      <c r="W180" s="2" t="inlineStr">
        <is>
          <t>227-8-К/26</t>
        </is>
      </c>
      <c r="X180" s="2" t="inlineStr">
        <is>
          <t>22.00 ± 2.20 (I)</t>
        </is>
      </c>
      <c r="Y180" s="2" t="inlineStr">
        <is>
          <t>19.80 – 24.19 %</t>
        </is>
      </c>
      <c r="Z180" s="2" t="inlineStr">
        <is>
          <t>SCR_THC22 : CBD1</t>
        </is>
      </c>
      <c r="AA180" s="2" t="inlineStr">
        <is>
          <t>QCSP_001_SCR-I_v.01</t>
        </is>
      </c>
      <c r="AB180" s="11" t="inlineStr">
        <is>
          <t>for review — new</t>
        </is>
      </c>
      <c r="AC180" s="11" t="inlineStr"/>
    </row>
    <row r="181"/>
    <row r="182" ht="150" customHeight="1">
      <c r="A182"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waits for its mycotoxin certificates.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82:AC182"/>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2" t="inlineStr">
        <is>
          <t>— not given —</t>
        </is>
      </c>
      <c r="E17" s="12"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2" t="inlineStr">
        <is>
          <t>— not given —</t>
        </is>
      </c>
      <c r="E22" s="12"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3" t="inlineStr">
        <is>
          <t>iCoA and CoQ Issuance Registers — preliminary — built with CoQ Analysis Master v30 on 15.09.2026</t>
        </is>
      </c>
    </row>
    <row r="2" ht="150" customHeight="1">
      <c r="A2" s="14"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4"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waits for its mycotoxin certificates.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4" t="inlineStr">
        <is>
          <t>Source: CoQ_Analysis_Master_v30.xlsx,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2026-09-15T13:50:15Z</dcterms:created>
  <dcterms:modified xsi:type="dcterms:W3CDTF">2026-09-15T13:50:16Z</dcterms:modified>
</cp:coreProperties>
</file>