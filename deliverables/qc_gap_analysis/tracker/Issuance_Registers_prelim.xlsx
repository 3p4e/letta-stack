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CoA Register" sheetId="1" state="visible" r:id="rId1"/>
    <sheet xmlns:r="http://schemas.openxmlformats.org/officeDocument/2006/relationships" name="CoQ Register" sheetId="2" state="visible" r:id="rId2"/>
    <sheet xmlns:r="http://schemas.openxmlformats.org/officeDocument/2006/relationships" name="Batch Dates" sheetId="3" state="visible" r:id="rId3"/>
    <sheet xmlns:r="http://schemas.openxmlformats.org/officeDocument/2006/relationships" name="Read Me" sheetId="4" state="visible" r:id="rId4"/>
  </sheets>
  <definedNames/>
  <calcPr calcId="124519"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Calibri"/>
      <b val="1"/>
      <color rgb="00FFFFFF"/>
      <sz val="8"/>
    </font>
    <font>
      <name val="Calibri"/>
      <sz val="7"/>
    </font>
    <font>
      <name val="Calibri"/>
      <b val="1"/>
      <sz val="7"/>
    </font>
    <font>
      <name val="Calibri"/>
      <i val="1"/>
      <color rgb="00595959"/>
      <sz val="6.5"/>
    </font>
    <font>
      <name val="Calibri"/>
      <b val="1"/>
      <sz val="9"/>
    </font>
    <font>
      <name val="Calibri"/>
      <sz val="9"/>
    </font>
  </fonts>
  <fills count="6">
    <fill>
      <patternFill/>
    </fill>
    <fill>
      <patternFill patternType="gray125"/>
    </fill>
    <fill>
      <patternFill patternType="solid">
        <fgColor rgb="001F3864"/>
      </patternFill>
    </fill>
    <fill>
      <patternFill patternType="solid">
        <fgColor rgb="00C6EFCE"/>
      </patternFill>
    </fill>
    <fill>
      <patternFill patternType="solid">
        <fgColor rgb="00FDE9D9"/>
      </patternFill>
    </fill>
    <fill>
      <patternFill patternType="solid">
        <fgColor rgb="00EFEFE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3" borderId="1" applyAlignment="1" pivotButton="0" quotePrefix="0" xfId="0">
      <alignment horizontal="center" vertical="center" wrapText="1"/>
    </xf>
    <xf numFmtId="164" fontId="2" fillId="0" borderId="1" applyAlignment="1" pivotButton="0" quotePrefix="0" xfId="0">
      <alignment horizontal="center" vertical="center" wrapText="1"/>
    </xf>
    <xf numFmtId="0" fontId="2" fillId="4" borderId="1" applyAlignment="1" pivotButton="0" quotePrefix="0" xfId="0">
      <alignment horizontal="center" vertical="center" wrapText="1"/>
    </xf>
    <xf numFmtId="0" fontId="2" fillId="3" borderId="1" applyAlignment="1" pivotButton="0" quotePrefix="0" xfId="0">
      <alignment horizontal="left" vertical="center" wrapText="1"/>
    </xf>
    <xf numFmtId="0" fontId="2" fillId="0" borderId="1" applyAlignment="1" pivotButton="0" quotePrefix="0" xfId="0">
      <alignment horizontal="left" vertical="center" wrapText="1"/>
    </xf>
    <xf numFmtId="0" fontId="2" fillId="4" borderId="1" applyAlignment="1" pivotButton="0" quotePrefix="0" xfId="0">
      <alignment horizontal="left" vertical="center" wrapText="1"/>
    </xf>
    <xf numFmtId="0" fontId="4" fillId="5" borderId="1" applyAlignment="1" pivotButton="0" quotePrefix="0" xfId="0">
      <alignment horizontal="left" vertical="top" wrapText="1"/>
    </xf>
    <xf numFmtId="164" fontId="2" fillId="4" borderId="1" applyAlignment="1" pivotButton="0" quotePrefix="0" xfId="0">
      <alignment horizontal="center"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ables/table1.xml><?xml version="1.0" encoding="utf-8"?>
<table xmlns="http://schemas.openxmlformats.org/spreadsheetml/2006/main" id="1" name="iCoA_Register" displayName="iCoA_Register" ref="A1:Q158" headerRowCount="1">
  <autoFilter ref="A1:Q158"/>
  <tableColumns count="17">
    <tableColumn id="1" name="No."/>
    <tableColumn id="2" name="iCoA code"/>
    <tableColumn id="3" name="Issuable"/>
    <tableColumn id="4" name="Issue date (planned)"/>
    <tableColumn id="5" name="Test date (packaging)"/>
    <tableColumn id="6" name="Packaging complete"/>
    <tableColumn id="7" name="Group"/>
    <tableColumn id="8" name="Series"/>
    <tableColumn id="9" name="CU Batch"/>
    <tableColumn id="10" name="P Batch"/>
    <tableColumn id="11" name="Strain"/>
    <tableColumn id="12" name="iCoA scope"/>
    <tableColumn id="13" name="CNP reference"/>
    <tableColumn id="14" name="CoQ (register)"/>
    <tableColumn id="15" name="Plan reference (31.08.2026)"/>
    <tableColumn id="16" name="Key"/>
    <tableColumn id="17" name="Status"/>
  </tableColumns>
  <tableStyleInfo name="TableStyleLight1" showFirstColumn="0" showLastColumn="0" showRowStripes="0" showColumnStripes="0"/>
</table>
</file>

<file path=xl/tables/table2.xml><?xml version="1.0" encoding="utf-8"?>
<table xmlns="http://schemas.openxmlformats.org/spreadsheetml/2006/main" id="2" name="CoQ_Register" displayName="CoQ_Register" ref="A1:T158" headerRowCount="1">
  <autoFilter ref="A1:T158"/>
  <tableColumns count="20">
    <tableColumn id="1" name="No."/>
    <tableColumn id="2" name="CoQ code"/>
    <tableColumn id="3" name="Issuable"/>
    <tableColumn id="4" name="Issue date (planned)"/>
    <tableColumn id="5" name="Rule date"/>
    <tableColumn id="6" name="Latest eCoA cited (date)"/>
    <tableColumn id="7" name="Latest eCoA cited (code)"/>
    <tableColumn id="8" name="iCoA (register)"/>
    <tableColumn id="9" name="iCoA issue date"/>
    <tableColumn id="10" name="Group"/>
    <tableColumn id="11" name="Series"/>
    <tableColumn id="12" name="CU Batch"/>
    <tableColumn id="13" name="P Batch"/>
    <tableColumn id="14" name="Strain"/>
    <tableColumn id="15" name="Ident C — eCoA (Total THC)"/>
    <tableColumn id="16" name="CNP references"/>
    <tableColumn id="17" name="Supersedes (old in-house CoA)"/>
    <tableColumn id="18" name="Plan reference (31.08.2026)"/>
    <tableColumn id="19" name="Key"/>
    <tableColumn id="20" name="Status"/>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Q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6" customWidth="1" min="5" max="5"/>
    <col width="16" customWidth="1" min="6" max="6"/>
    <col width="10" customWidth="1" min="7" max="7"/>
    <col width="20" customWidth="1" min="8" max="8"/>
    <col width="16" customWidth="1" min="9" max="9"/>
    <col width="12" customWidth="1" min="10" max="10"/>
    <col width="20" customWidth="1" min="11" max="11"/>
    <col width="30" customWidth="1" min="12" max="12"/>
    <col width="26" customWidth="1" min="13" max="13"/>
    <col width="16" customWidth="1" min="14" max="14"/>
    <col width="22" customWidth="1" min="15" max="15"/>
    <col width="14" customWidth="1" min="16" max="16"/>
    <col width="60" customWidth="1" min="17" max="17"/>
  </cols>
  <sheetData>
    <row r="1" ht="22" customHeight="1">
      <c r="A1" s="1" t="inlineStr">
        <is>
          <t>No.</t>
        </is>
      </c>
      <c r="B1" s="1" t="inlineStr">
        <is>
          <t>iCoA code</t>
        </is>
      </c>
      <c r="C1" s="1" t="inlineStr">
        <is>
          <t>Issuable</t>
        </is>
      </c>
      <c r="D1" s="1" t="inlineStr">
        <is>
          <t>Issue date (planned)</t>
        </is>
      </c>
      <c r="E1" s="1" t="inlineStr">
        <is>
          <t>Test date (packaging)</t>
        </is>
      </c>
      <c r="F1" s="1" t="inlineStr">
        <is>
          <t>Packaging complete</t>
        </is>
      </c>
      <c r="G1" s="1" t="inlineStr">
        <is>
          <t>Group</t>
        </is>
      </c>
      <c r="H1" s="1" t="inlineStr">
        <is>
          <t>Series</t>
        </is>
      </c>
      <c r="I1" s="1" t="inlineStr">
        <is>
          <t>CU Batch</t>
        </is>
      </c>
      <c r="J1" s="1" t="inlineStr">
        <is>
          <t>P Batch</t>
        </is>
      </c>
      <c r="K1" s="1" t="inlineStr">
        <is>
          <t>Strain</t>
        </is>
      </c>
      <c r="L1" s="1" t="inlineStr">
        <is>
          <t>iCoA scope</t>
        </is>
      </c>
      <c r="M1" s="1" t="inlineStr">
        <is>
          <t>CNP reference</t>
        </is>
      </c>
      <c r="N1" s="1" t="inlineStr">
        <is>
          <t>CoQ (register)</t>
        </is>
      </c>
      <c r="O1" s="1" t="inlineStr">
        <is>
          <t>Plan reference (31.08.2026)</t>
        </is>
      </c>
      <c r="P1" s="1" t="inlineStr">
        <is>
          <t>Key</t>
        </is>
      </c>
      <c r="Q1" s="1" t="inlineStr">
        <is>
          <t>Status</t>
        </is>
      </c>
    </row>
    <row r="2">
      <c r="A2" s="2">
        <f>IF(C2="yes",COUNT(A$1:A1)+1,"")</f>
        <v/>
      </c>
      <c r="B2" s="3">
        <f>IF(A2&lt;&gt;"","iCoA-PP_26-"&amp;TEXT(A2,"000"),IF(C2="n/a","not needed","— at issue —"))</f>
        <v/>
      </c>
      <c r="C2" s="4" t="inlineStr">
        <is>
          <t>yes</t>
        </is>
      </c>
      <c r="D2" s="5">
        <f>IF(A2="","",IF(G2="legacy",DATE(2026,5,15),IF(ISNUMBER(F2),(F2+5)+CHOOSE(WEEKDAY(F2+5,2),0,0,0,0,0,2,1),"")))</f>
        <v/>
      </c>
      <c r="E2" s="5">
        <f>IFERROR(INDEX('Batch Dates'!$F:$F,MATCH(J2,'Batch Dates'!$C:$C,0)),IFERROR(INDEX('Batch Dates'!$F:$F,MATCH(I2,'Batch Dates'!$B:$B,0)),""))</f>
        <v/>
      </c>
      <c r="F2" s="5">
        <f>IFERROR(INDEX('Batch Dates'!$G:$G,MATCH(J2,'Batch Dates'!$C:$C,0)),IFERROR(INDEX('Batch Dates'!$G:$G,MATCH(I2,'Batch Dates'!$B:$B,0)),""))</f>
        <v/>
      </c>
      <c r="G2" s="2" t="inlineStr">
        <is>
          <t>legacy</t>
        </is>
      </c>
      <c r="H2" s="2" t="inlineStr">
        <is>
          <t>initial release</t>
        </is>
      </c>
      <c r="I2" s="3" t="inlineStr">
        <is>
          <t>CJ1024</t>
        </is>
      </c>
      <c r="J2" s="2" t="inlineStr">
        <is>
          <t>N/A — no P batch assigned</t>
        </is>
      </c>
      <c r="K2" s="2" t="inlineStr">
        <is>
          <t>Cap Junky</t>
        </is>
      </c>
      <c r="L2" s="2" t="inlineStr">
        <is>
          <t>Ident A + Ident B + Foreign matter</t>
        </is>
      </c>
      <c r="M2" s="6" t="inlineStr">
        <is>
          <t>—</t>
        </is>
      </c>
      <c r="N2" s="2">
        <f>IFERROR(INDEX('CoQ Register'!$B:$B,MATCH("CJ1024|I",'CoQ Register'!$S:$S,0)),"—")</f>
        <v/>
      </c>
      <c r="O2" s="6" t="inlineStr">
        <is>
          <t>—</t>
        </is>
      </c>
      <c r="P2" s="2" t="inlineStr">
        <is>
          <t>CJ1024|I</t>
        </is>
      </c>
      <c r="Q2" s="7" t="inlineStr">
        <is>
          <t>registered — issued with the legacy series on 15.05.2026</t>
        </is>
      </c>
    </row>
    <row r="3">
      <c r="A3" s="2">
        <f>IF(C3="yes",COUNT(A$1:A2)+1,"")</f>
        <v/>
      </c>
      <c r="B3" s="3">
        <f>IF(A3&lt;&gt;"","iCoA-PP_26-"&amp;TEXT(A3,"000"),IF(C3="n/a","not needed","— at issue —"))</f>
        <v/>
      </c>
      <c r="C3" s="4" t="inlineStr">
        <is>
          <t>yes</t>
        </is>
      </c>
      <c r="D3" s="5">
        <f>IF(A3="","",IF(G3="legacy",DATE(2026,5,15),IF(ISNUMBER(F3),(F3+5)+CHOOSE(WEEKDAY(F3+5,2),0,0,0,0,0,2,1),"")))</f>
        <v/>
      </c>
      <c r="E3" s="5">
        <f>IFERROR(INDEX('Batch Dates'!$F:$F,MATCH(J3,'Batch Dates'!$C:$C,0)),IFERROR(INDEX('Batch Dates'!$F:$F,MATCH(I3,'Batch Dates'!$B:$B,0)),""))</f>
        <v/>
      </c>
      <c r="F3" s="5">
        <f>IFERROR(INDEX('Batch Dates'!$G:$G,MATCH(J3,'Batch Dates'!$C:$C,0)),IFERROR(INDEX('Batch Dates'!$G:$G,MATCH(I3,'Batch Dates'!$B:$B,0)),""))</f>
        <v/>
      </c>
      <c r="G3" s="2" t="inlineStr">
        <is>
          <t>legacy</t>
        </is>
      </c>
      <c r="H3" s="2" t="inlineStr">
        <is>
          <t>initial release</t>
        </is>
      </c>
      <c r="I3" s="3" t="inlineStr">
        <is>
          <t>BSS1024</t>
        </is>
      </c>
      <c r="J3" s="2" t="inlineStr">
        <is>
          <t>N/A — no P batch assigned</t>
        </is>
      </c>
      <c r="K3" s="2" t="inlineStr">
        <is>
          <t>Blue Sunset Sherbet</t>
        </is>
      </c>
      <c r="L3" s="2" t="inlineStr">
        <is>
          <t>Ident A + Ident B + Foreign matter</t>
        </is>
      </c>
      <c r="M3" s="6" t="inlineStr">
        <is>
          <t>—</t>
        </is>
      </c>
      <c r="N3" s="2">
        <f>IFERROR(INDEX('CoQ Register'!$B:$B,MATCH("BSS1024|I",'CoQ Register'!$S:$S,0)),"—")</f>
        <v/>
      </c>
      <c r="O3" s="2" t="inlineStr">
        <is>
          <t>iCoA-PP-2025-0001</t>
        </is>
      </c>
      <c r="P3" s="2" t="inlineStr">
        <is>
          <t>BSS1024|I</t>
        </is>
      </c>
      <c r="Q3" s="7" t="inlineStr">
        <is>
          <t>registered — issued with the legacy series on 15.05.2026</t>
        </is>
      </c>
    </row>
    <row r="4">
      <c r="A4" s="2">
        <f>IF(C4="yes",COUNT(A$1:A3)+1,"")</f>
        <v/>
      </c>
      <c r="B4" s="3">
        <f>IF(A4&lt;&gt;"","iCoA-PP_26-"&amp;TEXT(A4,"000"),IF(C4="n/a","not needed","— at issue —"))</f>
        <v/>
      </c>
      <c r="C4" s="4" t="inlineStr">
        <is>
          <t>yes</t>
        </is>
      </c>
      <c r="D4" s="5">
        <f>IF(A4="","",IF(G4="legacy",DATE(2026,5,15),IF(ISNUMBER(F4),(F4+5)+CHOOSE(WEEKDAY(F4+5,2),0,0,0,0,0,2,1),"")))</f>
        <v/>
      </c>
      <c r="E4" s="5">
        <f>IFERROR(INDEX('Batch Dates'!$F:$F,MATCH(J4,'Batch Dates'!$C:$C,0)),IFERROR(INDEX('Batch Dates'!$F:$F,MATCH(I4,'Batch Dates'!$B:$B,0)),""))</f>
        <v/>
      </c>
      <c r="F4" s="5">
        <f>IFERROR(INDEX('Batch Dates'!$G:$G,MATCH(J4,'Batch Dates'!$C:$C,0)),IFERROR(INDEX('Batch Dates'!$G:$G,MATCH(I4,'Batch Dates'!$B:$B,0)),""))</f>
        <v/>
      </c>
      <c r="G4" s="2" t="inlineStr">
        <is>
          <t>legacy</t>
        </is>
      </c>
      <c r="H4" s="2" t="inlineStr">
        <is>
          <t>initial release</t>
        </is>
      </c>
      <c r="I4" s="3" t="inlineStr">
        <is>
          <t>BG1024</t>
        </is>
      </c>
      <c r="J4" s="2" t="inlineStr">
        <is>
          <t>N/A — no P batch assigned</t>
        </is>
      </c>
      <c r="K4" s="2" t="inlineStr">
        <is>
          <t>Blue Gelato</t>
        </is>
      </c>
      <c r="L4" s="2" t="inlineStr">
        <is>
          <t>Ident A + Ident B + Foreign matter</t>
        </is>
      </c>
      <c r="M4" s="6" t="inlineStr">
        <is>
          <t>—</t>
        </is>
      </c>
      <c r="N4" s="2">
        <f>IFERROR(INDEX('CoQ Register'!$B:$B,MATCH("BG1024|I",'CoQ Register'!$S:$S,0)),"—")</f>
        <v/>
      </c>
      <c r="O4" s="2" t="inlineStr">
        <is>
          <t>iCoA-PP-2025-0002</t>
        </is>
      </c>
      <c r="P4" s="2" t="inlineStr">
        <is>
          <t>BG1024|I</t>
        </is>
      </c>
      <c r="Q4" s="7" t="inlineStr">
        <is>
          <t>registered — issued with the legacy series on 15.05.2026</t>
        </is>
      </c>
    </row>
    <row r="5">
      <c r="A5" s="2">
        <f>IF(C5="yes",COUNT(A$1:A4)+1,"")</f>
        <v/>
      </c>
      <c r="B5" s="3">
        <f>IF(A5&lt;&gt;"","iCoA-PP_26-"&amp;TEXT(A5,"000"),IF(C5="n/a","not needed","— at issue —"))</f>
        <v/>
      </c>
      <c r="C5" s="4" t="inlineStr">
        <is>
          <t>yes</t>
        </is>
      </c>
      <c r="D5" s="5">
        <f>IF(A5="","",IF(G5="legacy",DATE(2026,5,15),IF(ISNUMBER(F5),(F5+5)+CHOOSE(WEEKDAY(F5+5,2),0,0,0,0,0,2,1),"")))</f>
        <v/>
      </c>
      <c r="E5" s="5">
        <f>IFERROR(INDEX('Batch Dates'!$F:$F,MATCH(J5,'Batch Dates'!$C:$C,0)),IFERROR(INDEX('Batch Dates'!$F:$F,MATCH(I5,'Batch Dates'!$B:$B,0)),""))</f>
        <v/>
      </c>
      <c r="F5" s="5">
        <f>IFERROR(INDEX('Batch Dates'!$G:$G,MATCH(J5,'Batch Dates'!$C:$C,0)),IFERROR(INDEX('Batch Dates'!$G:$G,MATCH(I5,'Batch Dates'!$B:$B,0)),""))</f>
        <v/>
      </c>
      <c r="G5" s="2" t="inlineStr">
        <is>
          <t>legacy</t>
        </is>
      </c>
      <c r="H5" s="2" t="inlineStr">
        <is>
          <t>initial release</t>
        </is>
      </c>
      <c r="I5" s="3" t="inlineStr">
        <is>
          <t>GG1024</t>
        </is>
      </c>
      <c r="J5" s="2" t="inlineStr">
        <is>
          <t>N/A — no P batch assigned</t>
        </is>
      </c>
      <c r="K5" s="2" t="inlineStr">
        <is>
          <t>Gorilla Glue</t>
        </is>
      </c>
      <c r="L5" s="2" t="inlineStr">
        <is>
          <t>Ident A + Ident B + Foreign matter</t>
        </is>
      </c>
      <c r="M5" s="6" t="inlineStr">
        <is>
          <t>—</t>
        </is>
      </c>
      <c r="N5" s="2">
        <f>IFERROR(INDEX('CoQ Register'!$B:$B,MATCH("GG1024|I",'CoQ Register'!$S:$S,0)),"—")</f>
        <v/>
      </c>
      <c r="O5" s="2" t="inlineStr">
        <is>
          <t>iCoA-PP-2025-0003</t>
        </is>
      </c>
      <c r="P5" s="2" t="inlineStr">
        <is>
          <t>GG1024|I</t>
        </is>
      </c>
      <c r="Q5" s="7" t="inlineStr">
        <is>
          <t>registered — issued with the legacy series on 15.05.2026</t>
        </is>
      </c>
    </row>
    <row r="6">
      <c r="A6" s="2">
        <f>IF(C6="yes",COUNT(A$1:A5)+1,"")</f>
        <v/>
      </c>
      <c r="B6" s="3">
        <f>IF(A6&lt;&gt;"","iCoA-PP_26-"&amp;TEXT(A6,"000"),IF(C6="n/a","not needed","— at issue —"))</f>
        <v/>
      </c>
      <c r="C6" s="4" t="inlineStr">
        <is>
          <t>yes</t>
        </is>
      </c>
      <c r="D6" s="5">
        <f>IF(A6="","",IF(G6="legacy",DATE(2026,5,15),IF(ISNUMBER(F6),(F6+5)+CHOOSE(WEEKDAY(F6+5,2),0,0,0,0,0,2,1),"")))</f>
        <v/>
      </c>
      <c r="E6" s="5">
        <f>IFERROR(INDEX('Batch Dates'!$F:$F,MATCH(J6,'Batch Dates'!$C:$C,0)),IFERROR(INDEX('Batch Dates'!$F:$F,MATCH(I6,'Batch Dates'!$B:$B,0)),""))</f>
        <v/>
      </c>
      <c r="F6" s="5">
        <f>IFERROR(INDEX('Batch Dates'!$G:$G,MATCH(J6,'Batch Dates'!$C:$C,0)),IFERROR(INDEX('Batch Dates'!$G:$G,MATCH(I6,'Batch Dates'!$B:$B,0)),""))</f>
        <v/>
      </c>
      <c r="G6" s="2" t="inlineStr">
        <is>
          <t>legacy</t>
        </is>
      </c>
      <c r="H6" s="2" t="inlineStr">
        <is>
          <t>initial release</t>
        </is>
      </c>
      <c r="I6" s="3" t="inlineStr">
        <is>
          <t>HPA1024</t>
        </is>
      </c>
      <c r="J6" s="2" t="inlineStr">
        <is>
          <t>N/A — no P batch assigned</t>
        </is>
      </c>
      <c r="K6" s="2" t="inlineStr">
        <is>
          <t>HighProAmnesia</t>
        </is>
      </c>
      <c r="L6" s="2" t="inlineStr">
        <is>
          <t>Ident A + Ident B + Foreign matter</t>
        </is>
      </c>
      <c r="M6" s="6" t="inlineStr">
        <is>
          <t>—</t>
        </is>
      </c>
      <c r="N6" s="2">
        <f>IFERROR(INDEX('CoQ Register'!$B:$B,MATCH("HPA1024|I",'CoQ Register'!$S:$S,0)),"—")</f>
        <v/>
      </c>
      <c r="O6" s="2" t="inlineStr">
        <is>
          <t>iCoA-PP-2025-0004</t>
        </is>
      </c>
      <c r="P6" s="2" t="inlineStr">
        <is>
          <t>HPA1024|I</t>
        </is>
      </c>
      <c r="Q6" s="7" t="inlineStr">
        <is>
          <t>registered — issued with the legacy series on 15.05.2026</t>
        </is>
      </c>
    </row>
    <row r="7">
      <c r="A7" s="2">
        <f>IF(C7="yes",COUNT(A$1:A6)+1,"")</f>
        <v/>
      </c>
      <c r="B7" s="3">
        <f>IF(A7&lt;&gt;"","iCoA-PP_26-"&amp;TEXT(A7,"000"),IF(C7="n/a","not needed","— at issue —"))</f>
        <v/>
      </c>
      <c r="C7" s="4" t="inlineStr">
        <is>
          <t>yes</t>
        </is>
      </c>
      <c r="D7" s="5">
        <f>IF(A7="","",IF(G7="legacy",DATE(2026,5,15),IF(ISNUMBER(F7),(F7+5)+CHOOSE(WEEKDAY(F7+5,2),0,0,0,0,0,2,1),"")))</f>
        <v/>
      </c>
      <c r="E7" s="5">
        <f>IFERROR(INDEX('Batch Dates'!$F:$F,MATCH(J7,'Batch Dates'!$C:$C,0)),IFERROR(INDEX('Batch Dates'!$F:$F,MATCH(I7,'Batch Dates'!$B:$B,0)),""))</f>
        <v/>
      </c>
      <c r="F7" s="5">
        <f>IFERROR(INDEX('Batch Dates'!$G:$G,MATCH(J7,'Batch Dates'!$C:$C,0)),IFERROR(INDEX('Batch Dates'!$G:$G,MATCH(I7,'Batch Dates'!$B:$B,0)),""))</f>
        <v/>
      </c>
      <c r="G7" s="2" t="inlineStr">
        <is>
          <t>legacy</t>
        </is>
      </c>
      <c r="H7" s="2" t="inlineStr">
        <is>
          <t>initial release</t>
        </is>
      </c>
      <c r="I7" s="3" t="inlineStr">
        <is>
          <t>OPM1024</t>
        </is>
      </c>
      <c r="J7" s="2" t="inlineStr">
        <is>
          <t>N/A — no P batch assigned</t>
        </is>
      </c>
      <c r="K7" s="2" t="inlineStr">
        <is>
          <t>OrangePunchMimosa</t>
        </is>
      </c>
      <c r="L7" s="2" t="inlineStr">
        <is>
          <t>Ident A + Ident B + Foreign matter</t>
        </is>
      </c>
      <c r="M7" s="6" t="inlineStr">
        <is>
          <t>—</t>
        </is>
      </c>
      <c r="N7" s="2">
        <f>IFERROR(INDEX('CoQ Register'!$B:$B,MATCH("OPM1024|I",'CoQ Register'!$S:$S,0)),"—")</f>
        <v/>
      </c>
      <c r="O7" s="2" t="inlineStr">
        <is>
          <t>iCoA-PP-2025-0005</t>
        </is>
      </c>
      <c r="P7" s="2" t="inlineStr">
        <is>
          <t>OPM1024|I</t>
        </is>
      </c>
      <c r="Q7" s="7" t="inlineStr">
        <is>
          <t>registered — issued with the legacy series on 15.05.2026</t>
        </is>
      </c>
    </row>
    <row r="8">
      <c r="A8" s="2">
        <f>IF(C8="yes",COUNT(A$1:A7)+1,"")</f>
        <v/>
      </c>
      <c r="B8" s="3">
        <f>IF(A8&lt;&gt;"","iCoA-PP_26-"&amp;TEXT(A8,"000"),IF(C8="n/a","not needed","— at issue —"))</f>
        <v/>
      </c>
      <c r="C8" s="4" t="inlineStr">
        <is>
          <t>yes</t>
        </is>
      </c>
      <c r="D8" s="5">
        <f>IF(A8="","",IF(G8="legacy",DATE(2026,5,15),IF(ISNUMBER(F8),(F8+5)+CHOOSE(WEEKDAY(F8+5,2),0,0,0,0,0,2,1),"")))</f>
        <v/>
      </c>
      <c r="E8" s="5">
        <f>IFERROR(INDEX('Batch Dates'!$F:$F,MATCH(J8,'Batch Dates'!$C:$C,0)),IFERROR(INDEX('Batch Dates'!$F:$F,MATCH(I8,'Batch Dates'!$B:$B,0)),""))</f>
        <v/>
      </c>
      <c r="F8" s="5">
        <f>IFERROR(INDEX('Batch Dates'!$G:$G,MATCH(J8,'Batch Dates'!$C:$C,0)),IFERROR(INDEX('Batch Dates'!$G:$G,MATCH(I8,'Batch Dates'!$B:$B,0)),""))</f>
        <v/>
      </c>
      <c r="G8" s="2" t="inlineStr">
        <is>
          <t>legacy</t>
        </is>
      </c>
      <c r="H8" s="2" t="inlineStr">
        <is>
          <t>initial release</t>
        </is>
      </c>
      <c r="I8" s="3" t="inlineStr">
        <is>
          <t>GP0824_02</t>
        </is>
      </c>
      <c r="J8" s="2" t="inlineStr">
        <is>
          <t>P050022</t>
        </is>
      </c>
      <c r="K8" s="2" t="inlineStr">
        <is>
          <t>Grape Pie</t>
        </is>
      </c>
      <c r="L8" s="2" t="inlineStr">
        <is>
          <t>Ident A + Ident B + Foreign matter</t>
        </is>
      </c>
      <c r="M8" s="6" t="inlineStr">
        <is>
          <t>—</t>
        </is>
      </c>
      <c r="N8" s="2">
        <f>IFERROR(INDEX('CoQ Register'!$B:$B,MATCH("P050022|I",'CoQ Register'!$S:$S,0)),"—")</f>
        <v/>
      </c>
      <c r="O8" s="2" t="inlineStr">
        <is>
          <t>iCoA-PP-2025-0006</t>
        </is>
      </c>
      <c r="P8" s="2" t="inlineStr">
        <is>
          <t>P050022|I</t>
        </is>
      </c>
      <c r="Q8" s="7" t="inlineStr">
        <is>
          <t>registered — issued with the legacy series on 15.05.2026</t>
        </is>
      </c>
    </row>
    <row r="9">
      <c r="A9" s="2">
        <f>IF(C9="yes",COUNT(A$1:A8)+1,"")</f>
        <v/>
      </c>
      <c r="B9" s="3">
        <f>IF(A9&lt;&gt;"","iCoA-PP_26-"&amp;TEXT(A9,"000"),IF(C9="n/a","not needed","— at issue —"))</f>
        <v/>
      </c>
      <c r="C9" s="4" t="inlineStr">
        <is>
          <t>yes</t>
        </is>
      </c>
      <c r="D9" s="5">
        <f>IF(A9="","",IF(G9="legacy",DATE(2026,5,15),IF(ISNUMBER(F9),(F9+5)+CHOOSE(WEEKDAY(F9+5,2),0,0,0,0,0,2,1),"")))</f>
        <v/>
      </c>
      <c r="E9" s="5">
        <f>IFERROR(INDEX('Batch Dates'!$F:$F,MATCH(J9,'Batch Dates'!$C:$C,0)),IFERROR(INDEX('Batch Dates'!$F:$F,MATCH(I9,'Batch Dates'!$B:$B,0)),""))</f>
        <v/>
      </c>
      <c r="F9" s="5">
        <f>IFERROR(INDEX('Batch Dates'!$G:$G,MATCH(J9,'Batch Dates'!$C:$C,0)),IFERROR(INDEX('Batch Dates'!$G:$G,MATCH(I9,'Batch Dates'!$B:$B,0)),""))</f>
        <v/>
      </c>
      <c r="G9" s="2" t="inlineStr">
        <is>
          <t>legacy</t>
        </is>
      </c>
      <c r="H9" s="2" t="inlineStr">
        <is>
          <t>initial release</t>
        </is>
      </c>
      <c r="I9" s="3" t="inlineStr">
        <is>
          <t>GG1024_02</t>
        </is>
      </c>
      <c r="J9" s="2" t="inlineStr">
        <is>
          <t>P050012</t>
        </is>
      </c>
      <c r="K9" s="2" t="inlineStr">
        <is>
          <t>Gorilla Glue</t>
        </is>
      </c>
      <c r="L9" s="2" t="inlineStr">
        <is>
          <t>Ident A + Ident B + Foreign matter</t>
        </is>
      </c>
      <c r="M9" s="6" t="inlineStr">
        <is>
          <t>—</t>
        </is>
      </c>
      <c r="N9" s="2">
        <f>IFERROR(INDEX('CoQ Register'!$B:$B,MATCH("P050012|I",'CoQ Register'!$S:$S,0)),"—")</f>
        <v/>
      </c>
      <c r="O9" s="6" t="inlineStr">
        <is>
          <t>—</t>
        </is>
      </c>
      <c r="P9" s="2" t="inlineStr">
        <is>
          <t>P050012|I</t>
        </is>
      </c>
      <c r="Q9" s="7" t="inlineStr">
        <is>
          <t>registered — issued with the legacy series on 15.05.2026</t>
        </is>
      </c>
    </row>
    <row r="10">
      <c r="A10" s="2">
        <f>IF(C10="yes",COUNT(A$1:A9)+1,"")</f>
        <v/>
      </c>
      <c r="B10" s="3">
        <f>IF(A10&lt;&gt;"","iCoA-PP_26-"&amp;TEXT(A10,"000"),IF(C10="n/a","not needed","— at issue —"))</f>
        <v/>
      </c>
      <c r="C10" s="4" t="inlineStr">
        <is>
          <t>yes</t>
        </is>
      </c>
      <c r="D10" s="5">
        <f>IF(A10="","",IF(G10="legacy",DATE(2026,5,15),IF(ISNUMBER(F10),(F10+5)+CHOOSE(WEEKDAY(F10+5,2),0,0,0,0,0,2,1),"")))</f>
        <v/>
      </c>
      <c r="E10" s="5">
        <f>IFERROR(INDEX('Batch Dates'!$F:$F,MATCH(J10,'Batch Dates'!$C:$C,0)),IFERROR(INDEX('Batch Dates'!$F:$F,MATCH(I10,'Batch Dates'!$B:$B,0)),""))</f>
        <v/>
      </c>
      <c r="F10" s="5">
        <f>IFERROR(INDEX('Batch Dates'!$G:$G,MATCH(J10,'Batch Dates'!$C:$C,0)),IFERROR(INDEX('Batch Dates'!$G:$G,MATCH(I10,'Batch Dates'!$B:$B,0)),""))</f>
        <v/>
      </c>
      <c r="G10" s="2" t="inlineStr">
        <is>
          <t>legacy</t>
        </is>
      </c>
      <c r="H10" s="2" t="inlineStr">
        <is>
          <t>initial release</t>
        </is>
      </c>
      <c r="I10" s="3" t="inlineStr">
        <is>
          <t>MB0824_04</t>
        </is>
      </c>
      <c r="J10" s="2" t="inlineStr">
        <is>
          <t>P050032</t>
        </is>
      </c>
      <c r="K10" s="2" t="inlineStr">
        <is>
          <t>Motor Breath</t>
        </is>
      </c>
      <c r="L10" s="2" t="inlineStr">
        <is>
          <t>Ident A + Ident B + Foreign matter</t>
        </is>
      </c>
      <c r="M10" s="6" t="inlineStr">
        <is>
          <t>—</t>
        </is>
      </c>
      <c r="N10" s="2">
        <f>IFERROR(INDEX('CoQ Register'!$B:$B,MATCH("P050032|I",'CoQ Register'!$S:$S,0)),"—")</f>
        <v/>
      </c>
      <c r="O10" s="6" t="inlineStr">
        <is>
          <t>—</t>
        </is>
      </c>
      <c r="P10" s="2" t="inlineStr">
        <is>
          <t>P050032|I</t>
        </is>
      </c>
      <c r="Q10" s="7" t="inlineStr">
        <is>
          <t>registered — issued with the legacy series on 15.05.2026</t>
        </is>
      </c>
    </row>
    <row r="11">
      <c r="A11" s="2">
        <f>IF(C11="yes",COUNT(A$1:A10)+1,"")</f>
        <v/>
      </c>
      <c r="B11" s="3">
        <f>IF(A11&lt;&gt;"","iCoA-PP_26-"&amp;TEXT(A11,"000"),IF(C11="n/a","not needed","— at issue —"))</f>
        <v/>
      </c>
      <c r="C11" s="4" t="inlineStr">
        <is>
          <t>yes</t>
        </is>
      </c>
      <c r="D11" s="5">
        <f>IF(A11="","",IF(G11="legacy",DATE(2026,5,15),IF(ISNUMBER(F11),(F11+5)+CHOOSE(WEEKDAY(F11+5,2),0,0,0,0,0,2,1),"")))</f>
        <v/>
      </c>
      <c r="E11" s="5">
        <f>IFERROR(INDEX('Batch Dates'!$F:$F,MATCH(J11,'Batch Dates'!$C:$C,0)),IFERROR(INDEX('Batch Dates'!$F:$F,MATCH(I11,'Batch Dates'!$B:$B,0)),""))</f>
        <v/>
      </c>
      <c r="F11" s="5">
        <f>IFERROR(INDEX('Batch Dates'!$G:$G,MATCH(J11,'Batch Dates'!$C:$C,0)),IFERROR(INDEX('Batch Dates'!$G:$G,MATCH(I11,'Batch Dates'!$B:$B,0)),""))</f>
        <v/>
      </c>
      <c r="G11" s="2" t="inlineStr">
        <is>
          <t>legacy</t>
        </is>
      </c>
      <c r="H11" s="2" t="inlineStr">
        <is>
          <t>initial release</t>
        </is>
      </c>
      <c r="I11" s="3" t="inlineStr">
        <is>
          <t>OMP1024_01</t>
        </is>
      </c>
      <c r="J11" s="2" t="inlineStr">
        <is>
          <t>P050042</t>
        </is>
      </c>
      <c r="K11" s="2" t="inlineStr">
        <is>
          <t>Orange Punch Mimosa</t>
        </is>
      </c>
      <c r="L11" s="2" t="inlineStr">
        <is>
          <t>Ident A + Ident B + Foreign matter</t>
        </is>
      </c>
      <c r="M11" s="6" t="inlineStr">
        <is>
          <t>—</t>
        </is>
      </c>
      <c r="N11" s="2">
        <f>IFERROR(INDEX('CoQ Register'!$B:$B,MATCH("P050042|I",'CoQ Register'!$S:$S,0)),"—")</f>
        <v/>
      </c>
      <c r="O11" s="2" t="inlineStr">
        <is>
          <t>iCoA-PP-2025-0007</t>
        </is>
      </c>
      <c r="P11" s="2" t="inlineStr">
        <is>
          <t>P050042|I</t>
        </is>
      </c>
      <c r="Q11" s="7" t="inlineStr">
        <is>
          <t>registered — issued with the legacy series on 15.05.2026</t>
        </is>
      </c>
    </row>
    <row r="12">
      <c r="A12" s="2">
        <f>IF(C12="yes",COUNT(A$1:A11)+1,"")</f>
        <v/>
      </c>
      <c r="B12" s="3">
        <f>IF(A12&lt;&gt;"","iCoA-PP_26-"&amp;TEXT(A12,"000"),IF(C12="n/a","not needed","— at issue —"))</f>
        <v/>
      </c>
      <c r="C12" s="4" t="inlineStr">
        <is>
          <t>yes</t>
        </is>
      </c>
      <c r="D12" s="5">
        <f>IF(A12="","",IF(G12="legacy",DATE(2026,5,15),IF(ISNUMBER(F12),(F12+5)+CHOOSE(WEEKDAY(F12+5,2),0,0,0,0,0,2,1),"")))</f>
        <v/>
      </c>
      <c r="E12" s="5">
        <f>IFERROR(INDEX('Batch Dates'!$F:$F,MATCH(J12,'Batch Dates'!$C:$C,0)),IFERROR(INDEX('Batch Dates'!$F:$F,MATCH(I12,'Batch Dates'!$B:$B,0)),""))</f>
        <v/>
      </c>
      <c r="F12" s="5">
        <f>IFERROR(INDEX('Batch Dates'!$G:$G,MATCH(J12,'Batch Dates'!$C:$C,0)),IFERROR(INDEX('Batch Dates'!$G:$G,MATCH(I12,'Batch Dates'!$B:$B,0)),""))</f>
        <v/>
      </c>
      <c r="G12" s="2" t="inlineStr">
        <is>
          <t>legacy</t>
        </is>
      </c>
      <c r="H12" s="2" t="inlineStr">
        <is>
          <t>initial release</t>
        </is>
      </c>
      <c r="I12" s="3" t="inlineStr">
        <is>
          <t>HPA1024_01</t>
        </is>
      </c>
      <c r="J12" s="2" t="inlineStr">
        <is>
          <t>P050052</t>
        </is>
      </c>
      <c r="K12" s="2" t="inlineStr">
        <is>
          <t>High Pro Amnesia</t>
        </is>
      </c>
      <c r="L12" s="2" t="inlineStr">
        <is>
          <t>Ident A + Ident B + Foreign matter</t>
        </is>
      </c>
      <c r="M12" s="6" t="inlineStr">
        <is>
          <t>—</t>
        </is>
      </c>
      <c r="N12" s="2">
        <f>IFERROR(INDEX('CoQ Register'!$B:$B,MATCH("P050052|I",'CoQ Register'!$S:$S,0)),"—")</f>
        <v/>
      </c>
      <c r="O12" s="2" t="inlineStr">
        <is>
          <t>iCoA-PP-2025-0008</t>
        </is>
      </c>
      <c r="P12" s="2" t="inlineStr">
        <is>
          <t>P050052|I</t>
        </is>
      </c>
      <c r="Q12" s="7" t="inlineStr">
        <is>
          <t>registered — issued with the legacy series on 15.05.2026</t>
        </is>
      </c>
    </row>
    <row r="13">
      <c r="A13" s="2">
        <f>IF(C13="yes",COUNT(A$1:A12)+1,"")</f>
        <v/>
      </c>
      <c r="B13" s="3">
        <f>IF(A13&lt;&gt;"","iCoA-PP_26-"&amp;TEXT(A13,"000"),IF(C13="n/a","not needed","— at issue —"))</f>
        <v/>
      </c>
      <c r="C13" s="4" t="inlineStr">
        <is>
          <t>yes</t>
        </is>
      </c>
      <c r="D13" s="5">
        <f>IF(A13="","",IF(G13="legacy",DATE(2026,5,15),IF(ISNUMBER(F13),(F13+5)+CHOOSE(WEEKDAY(F13+5,2),0,0,0,0,0,2,1),"")))</f>
        <v/>
      </c>
      <c r="E13" s="5">
        <f>IFERROR(INDEX('Batch Dates'!$F:$F,MATCH(J13,'Batch Dates'!$C:$C,0)),IFERROR(INDEX('Batch Dates'!$F:$F,MATCH(I13,'Batch Dates'!$B:$B,0)),""))</f>
        <v/>
      </c>
      <c r="F13" s="5">
        <f>IFERROR(INDEX('Batch Dates'!$G:$G,MATCH(J13,'Batch Dates'!$C:$C,0)),IFERROR(INDEX('Batch Dates'!$G:$G,MATCH(I13,'Batch Dates'!$B:$B,0)),""))</f>
        <v/>
      </c>
      <c r="G13" s="2" t="inlineStr">
        <is>
          <t>legacy</t>
        </is>
      </c>
      <c r="H13" s="2" t="inlineStr">
        <is>
          <t>initial release</t>
        </is>
      </c>
      <c r="I13" s="3" t="inlineStr">
        <is>
          <t>OPM1024_02</t>
        </is>
      </c>
      <c r="J13" s="2" t="inlineStr">
        <is>
          <t>P050062</t>
        </is>
      </c>
      <c r="K13" s="2" t="inlineStr">
        <is>
          <t>Orange Punch Mimosa</t>
        </is>
      </c>
      <c r="L13" s="2" t="inlineStr">
        <is>
          <t>Ident A + Ident B + Foreign matter</t>
        </is>
      </c>
      <c r="M13" s="6" t="inlineStr">
        <is>
          <t>—</t>
        </is>
      </c>
      <c r="N13" s="2">
        <f>IFERROR(INDEX('CoQ Register'!$B:$B,MATCH("P050062|I",'CoQ Register'!$S:$S,0)),"—")</f>
        <v/>
      </c>
      <c r="O13" s="2" t="inlineStr">
        <is>
          <t>iCoA-PP-2025-0009</t>
        </is>
      </c>
      <c r="P13" s="2" t="inlineStr">
        <is>
          <t>P050062|I</t>
        </is>
      </c>
      <c r="Q13" s="7" t="inlineStr">
        <is>
          <t>registered — issued with the legacy series on 15.05.2026</t>
        </is>
      </c>
    </row>
    <row r="14">
      <c r="A14" s="2">
        <f>IF(C14="yes",COUNT(A$1:A13)+1,"")</f>
        <v/>
      </c>
      <c r="B14" s="3">
        <f>IF(A14&lt;&gt;"","iCoA-PP_26-"&amp;TEXT(A14,"000"),IF(C14="n/a","not needed","— at issue —"))</f>
        <v/>
      </c>
      <c r="C14" s="4" t="inlineStr">
        <is>
          <t>yes</t>
        </is>
      </c>
      <c r="D14" s="5">
        <f>IF(A14="","",IF(G14="legacy",DATE(2026,5,15),IF(ISNUMBER(F14),(F14+5)+CHOOSE(WEEKDAY(F14+5,2),0,0,0,0,0,2,1),"")))</f>
        <v/>
      </c>
      <c r="E14" s="5">
        <f>IFERROR(INDEX('Batch Dates'!$F:$F,MATCH(J14,'Batch Dates'!$C:$C,0)),IFERROR(INDEX('Batch Dates'!$F:$F,MATCH(I14,'Batch Dates'!$B:$B,0)),""))</f>
        <v/>
      </c>
      <c r="F14" s="5">
        <f>IFERROR(INDEX('Batch Dates'!$G:$G,MATCH(J14,'Batch Dates'!$C:$C,0)),IFERROR(INDEX('Batch Dates'!$G:$G,MATCH(I14,'Batch Dates'!$B:$B,0)),""))</f>
        <v/>
      </c>
      <c r="G14" s="2" t="inlineStr">
        <is>
          <t>legacy</t>
        </is>
      </c>
      <c r="H14" s="2" t="inlineStr">
        <is>
          <t>initial release</t>
        </is>
      </c>
      <c r="I14" s="3" t="inlineStr">
        <is>
          <t>GP0824_03</t>
        </is>
      </c>
      <c r="J14" s="2" t="inlineStr">
        <is>
          <t>P050072</t>
        </is>
      </c>
      <c r="K14" s="2" t="inlineStr">
        <is>
          <t>Grape Pie</t>
        </is>
      </c>
      <c r="L14" s="2" t="inlineStr">
        <is>
          <t>Ident A + Ident B + Foreign matter</t>
        </is>
      </c>
      <c r="M14" s="6" t="inlineStr">
        <is>
          <t>—</t>
        </is>
      </c>
      <c r="N14" s="2">
        <f>IFERROR(INDEX('CoQ Register'!$B:$B,MATCH("P050072|I",'CoQ Register'!$S:$S,0)),"—")</f>
        <v/>
      </c>
      <c r="O14" s="2" t="inlineStr">
        <is>
          <t>iCoA-PP-2025-0010</t>
        </is>
      </c>
      <c r="P14" s="2" t="inlineStr">
        <is>
          <t>P050072|I</t>
        </is>
      </c>
      <c r="Q14" s="7" t="inlineStr">
        <is>
          <t>registered — issued with the legacy series on 15.05.2026</t>
        </is>
      </c>
    </row>
    <row r="15">
      <c r="A15" s="2">
        <f>IF(C15="yes",COUNT(A$1:A14)+1,"")</f>
        <v/>
      </c>
      <c r="B15" s="3">
        <f>IF(A15&lt;&gt;"","iCoA-PP_26-"&amp;TEXT(A15,"000"),IF(C15="n/a","not needed","— at issue —"))</f>
        <v/>
      </c>
      <c r="C15" s="4" t="inlineStr">
        <is>
          <t>yes</t>
        </is>
      </c>
      <c r="D15" s="5">
        <f>IF(A15="","",IF(G15="legacy",DATE(2026,5,15),IF(ISNUMBER(F15),(F15+5)+CHOOSE(WEEKDAY(F15+5,2),0,0,0,0,0,2,1),"")))</f>
        <v/>
      </c>
      <c r="E15" s="5">
        <f>IFERROR(INDEX('Batch Dates'!$F:$F,MATCH(J15,'Batch Dates'!$C:$C,0)),IFERROR(INDEX('Batch Dates'!$F:$F,MATCH(I15,'Batch Dates'!$B:$B,0)),""))</f>
        <v/>
      </c>
      <c r="F15" s="5">
        <f>IFERROR(INDEX('Batch Dates'!$G:$G,MATCH(J15,'Batch Dates'!$C:$C,0)),IFERROR(INDEX('Batch Dates'!$G:$G,MATCH(I15,'Batch Dates'!$B:$B,0)),""))</f>
        <v/>
      </c>
      <c r="G15" s="2" t="inlineStr">
        <is>
          <t>legacy</t>
        </is>
      </c>
      <c r="H15" s="2" t="inlineStr">
        <is>
          <t>initial release</t>
        </is>
      </c>
      <c r="I15" s="3" t="inlineStr">
        <is>
          <t>OPM1024_03</t>
        </is>
      </c>
      <c r="J15" s="2" t="inlineStr">
        <is>
          <t>P050082</t>
        </is>
      </c>
      <c r="K15" s="2" t="inlineStr">
        <is>
          <t>Orange Punch Mimosa</t>
        </is>
      </c>
      <c r="L15" s="2" t="inlineStr">
        <is>
          <t>Ident A + Ident B + Foreign matter</t>
        </is>
      </c>
      <c r="M15" s="6" t="inlineStr">
        <is>
          <t>—</t>
        </is>
      </c>
      <c r="N15" s="2">
        <f>IFERROR(INDEX('CoQ Register'!$B:$B,MATCH("P050082|I",'CoQ Register'!$S:$S,0)),"—")</f>
        <v/>
      </c>
      <c r="O15" s="2" t="inlineStr">
        <is>
          <t>iCoA-PP-2025-0011</t>
        </is>
      </c>
      <c r="P15" s="2" t="inlineStr">
        <is>
          <t>P050082|I</t>
        </is>
      </c>
      <c r="Q15" s="7" t="inlineStr">
        <is>
          <t>registered — issued with the legacy series on 15.05.2026</t>
        </is>
      </c>
    </row>
    <row r="16">
      <c r="A16" s="2">
        <f>IF(C16="yes",COUNT(A$1:A15)+1,"")</f>
        <v/>
      </c>
      <c r="B16" s="3">
        <f>IF(A16&lt;&gt;"","iCoA-PP_26-"&amp;TEXT(A16,"000"),IF(C16="n/a","not needed","— at issue —"))</f>
        <v/>
      </c>
      <c r="C16" s="4" t="inlineStr">
        <is>
          <t>yes</t>
        </is>
      </c>
      <c r="D16" s="5">
        <f>IF(A16="","",IF(G16="legacy",DATE(2026,5,15),IF(ISNUMBER(F16),(F16+5)+CHOOSE(WEEKDAY(F16+5,2),0,0,0,0,0,2,1),"")))</f>
        <v/>
      </c>
      <c r="E16" s="5">
        <f>IFERROR(INDEX('Batch Dates'!$F:$F,MATCH(J16,'Batch Dates'!$C:$C,0)),IFERROR(INDEX('Batch Dates'!$F:$F,MATCH(I16,'Batch Dates'!$B:$B,0)),""))</f>
        <v/>
      </c>
      <c r="F16" s="5">
        <f>IFERROR(INDEX('Batch Dates'!$G:$G,MATCH(J16,'Batch Dates'!$C:$C,0)),IFERROR(INDEX('Batch Dates'!$G:$G,MATCH(I16,'Batch Dates'!$B:$B,0)),""))</f>
        <v/>
      </c>
      <c r="G16" s="2" t="inlineStr">
        <is>
          <t>legacy</t>
        </is>
      </c>
      <c r="H16" s="2" t="inlineStr">
        <is>
          <t>initial release</t>
        </is>
      </c>
      <c r="I16" s="3" t="inlineStr">
        <is>
          <t>GG1024_01</t>
        </is>
      </c>
      <c r="J16" s="2" t="inlineStr">
        <is>
          <t>P050092</t>
        </is>
      </c>
      <c r="K16" s="2" t="inlineStr">
        <is>
          <t>Gorilla Glue</t>
        </is>
      </c>
      <c r="L16" s="2" t="inlineStr">
        <is>
          <t>Ident A + Ident B + Foreign matter</t>
        </is>
      </c>
      <c r="M16" s="6" t="inlineStr">
        <is>
          <t>—</t>
        </is>
      </c>
      <c r="N16" s="2">
        <f>IFERROR(INDEX('CoQ Register'!$B:$B,MATCH("P050092|I",'CoQ Register'!$S:$S,0)),"—")</f>
        <v/>
      </c>
      <c r="O16" s="2" t="inlineStr">
        <is>
          <t>iCoA-PP-2025-0012</t>
        </is>
      </c>
      <c r="P16" s="2" t="inlineStr">
        <is>
          <t>P050092|I</t>
        </is>
      </c>
      <c r="Q16" s="7" t="inlineStr">
        <is>
          <t>registered — issued with the legacy series on 15.05.2026</t>
        </is>
      </c>
    </row>
    <row r="17">
      <c r="A17" s="2">
        <f>IF(C17="yes",COUNT(A$1:A16)+1,"")</f>
        <v/>
      </c>
      <c r="B17" s="3">
        <f>IF(A17&lt;&gt;"","iCoA-PP_26-"&amp;TEXT(A17,"000"),IF(C17="n/a","not needed","— at issue —"))</f>
        <v/>
      </c>
      <c r="C17" s="4" t="inlineStr">
        <is>
          <t>yes</t>
        </is>
      </c>
      <c r="D17" s="5">
        <f>IF(A17="","",IF(G17="legacy",DATE(2026,5,15),IF(ISNUMBER(F17),(F17+5)+CHOOSE(WEEKDAY(F17+5,2),0,0,0,0,0,2,1),"")))</f>
        <v/>
      </c>
      <c r="E17" s="5">
        <f>IFERROR(INDEX('Batch Dates'!$F:$F,MATCH(J17,'Batch Dates'!$C:$C,0)),IFERROR(INDEX('Batch Dates'!$F:$F,MATCH(I17,'Batch Dates'!$B:$B,0)),""))</f>
        <v/>
      </c>
      <c r="F17" s="5">
        <f>IFERROR(INDEX('Batch Dates'!$G:$G,MATCH(J17,'Batch Dates'!$C:$C,0)),IFERROR(INDEX('Batch Dates'!$G:$G,MATCH(I17,'Batch Dates'!$B:$B,0)),""))</f>
        <v/>
      </c>
      <c r="G17" s="2" t="inlineStr">
        <is>
          <t>legacy</t>
        </is>
      </c>
      <c r="H17" s="2" t="inlineStr">
        <is>
          <t>initial release</t>
        </is>
      </c>
      <c r="I17" s="3" t="inlineStr">
        <is>
          <t>GP0824_01</t>
        </is>
      </c>
      <c r="J17" s="2" t="inlineStr">
        <is>
          <t>P050102</t>
        </is>
      </c>
      <c r="K17" s="2" t="inlineStr">
        <is>
          <t>Grape Pie</t>
        </is>
      </c>
      <c r="L17" s="2" t="inlineStr">
        <is>
          <t>Ident A + Ident B + Foreign matter</t>
        </is>
      </c>
      <c r="M17" s="6" t="inlineStr">
        <is>
          <t>—</t>
        </is>
      </c>
      <c r="N17" s="2">
        <f>IFERROR(INDEX('CoQ Register'!$B:$B,MATCH("P050102|I",'CoQ Register'!$S:$S,0)),"—")</f>
        <v/>
      </c>
      <c r="O17" s="6" t="inlineStr">
        <is>
          <t>—</t>
        </is>
      </c>
      <c r="P17" s="2" t="inlineStr">
        <is>
          <t>P050102|I</t>
        </is>
      </c>
      <c r="Q17" s="7" t="inlineStr">
        <is>
          <t>registered — issued with the legacy series on 15.05.2026</t>
        </is>
      </c>
    </row>
    <row r="18">
      <c r="A18" s="2">
        <f>IF(C18="yes",COUNT(A$1:A17)+1,"")</f>
        <v/>
      </c>
      <c r="B18" s="3">
        <f>IF(A18&lt;&gt;"","iCoA-PP_26-"&amp;TEXT(A18,"000"),IF(C18="n/a","not needed","— at issue —"))</f>
        <v/>
      </c>
      <c r="C18" s="4" t="inlineStr">
        <is>
          <t>yes</t>
        </is>
      </c>
      <c r="D18" s="5">
        <f>IF(A18="","",IF(G18="legacy",DATE(2026,5,15),IF(ISNUMBER(F18),(F18+5)+CHOOSE(WEEKDAY(F18+5,2),0,0,0,0,0,2,1),"")))</f>
        <v/>
      </c>
      <c r="E18" s="5">
        <f>IFERROR(INDEX('Batch Dates'!$F:$F,MATCH(J18,'Batch Dates'!$C:$C,0)),IFERROR(INDEX('Batch Dates'!$F:$F,MATCH(I18,'Batch Dates'!$B:$B,0)),""))</f>
        <v/>
      </c>
      <c r="F18" s="5">
        <f>IFERROR(INDEX('Batch Dates'!$G:$G,MATCH(J18,'Batch Dates'!$C:$C,0)),IFERROR(INDEX('Batch Dates'!$G:$G,MATCH(I18,'Batch Dates'!$B:$B,0)),""))</f>
        <v/>
      </c>
      <c r="G18" s="2" t="inlineStr">
        <is>
          <t>legacy</t>
        </is>
      </c>
      <c r="H18" s="2" t="inlineStr">
        <is>
          <t>initial release</t>
        </is>
      </c>
      <c r="I18" s="3" t="inlineStr">
        <is>
          <t>MB0824_05</t>
        </is>
      </c>
      <c r="J18" s="2" t="inlineStr">
        <is>
          <t>P050112</t>
        </is>
      </c>
      <c r="K18" s="2" t="inlineStr">
        <is>
          <t>Motor Breath</t>
        </is>
      </c>
      <c r="L18" s="2" t="inlineStr">
        <is>
          <t>Ident A + Ident B + Foreign matter</t>
        </is>
      </c>
      <c r="M18" s="6" t="inlineStr">
        <is>
          <t>—</t>
        </is>
      </c>
      <c r="N18" s="2">
        <f>IFERROR(INDEX('CoQ Register'!$B:$B,MATCH("P050112|I",'CoQ Register'!$S:$S,0)),"—")</f>
        <v/>
      </c>
      <c r="O18" s="2" t="inlineStr">
        <is>
          <t>iCoA-PP-2025-0013</t>
        </is>
      </c>
      <c r="P18" s="2" t="inlineStr">
        <is>
          <t>P050112|I</t>
        </is>
      </c>
      <c r="Q18" s="7" t="inlineStr">
        <is>
          <t>registered — issued with the legacy series on 15.05.2026</t>
        </is>
      </c>
    </row>
    <row r="19">
      <c r="A19" s="2">
        <f>IF(C19="yes",COUNT(A$1:A18)+1,"")</f>
        <v/>
      </c>
      <c r="B19" s="3">
        <f>IF(A19&lt;&gt;"","iCoA-PP_26-"&amp;TEXT(A19,"000"),IF(C19="n/a","not needed","— at issue —"))</f>
        <v/>
      </c>
      <c r="C19" s="4" t="inlineStr">
        <is>
          <t>yes</t>
        </is>
      </c>
      <c r="D19" s="5">
        <f>IF(A19="","",IF(G19="legacy",DATE(2026,5,15),IF(ISNUMBER(F19),(F19+5)+CHOOSE(WEEKDAY(F19+5,2),0,0,0,0,0,2,1),"")))</f>
        <v/>
      </c>
      <c r="E19" s="5">
        <f>IFERROR(INDEX('Batch Dates'!$F:$F,MATCH(J19,'Batch Dates'!$C:$C,0)),IFERROR(INDEX('Batch Dates'!$F:$F,MATCH(I19,'Batch Dates'!$B:$B,0)),""))</f>
        <v/>
      </c>
      <c r="F19" s="5">
        <f>IFERROR(INDEX('Batch Dates'!$G:$G,MATCH(J19,'Batch Dates'!$C:$C,0)),IFERROR(INDEX('Batch Dates'!$G:$G,MATCH(I19,'Batch Dates'!$B:$B,0)),""))</f>
        <v/>
      </c>
      <c r="G19" s="2" t="inlineStr">
        <is>
          <t>legacy</t>
        </is>
      </c>
      <c r="H19" s="2" t="inlineStr">
        <is>
          <t>initial release</t>
        </is>
      </c>
      <c r="I19" s="3" t="inlineStr">
        <is>
          <t>BSS1024_01/1</t>
        </is>
      </c>
      <c r="J19" s="2" t="inlineStr">
        <is>
          <t>P050122</t>
        </is>
      </c>
      <c r="K19" s="2" t="inlineStr">
        <is>
          <t>Blue Sunset Sherbet</t>
        </is>
      </c>
      <c r="L19" s="2" t="inlineStr">
        <is>
          <t>Ident A + Ident B + Foreign matter</t>
        </is>
      </c>
      <c r="M19" s="6" t="inlineStr">
        <is>
          <t>—</t>
        </is>
      </c>
      <c r="N19" s="2">
        <f>IFERROR(INDEX('CoQ Register'!$B:$B,MATCH("P050122|I",'CoQ Register'!$S:$S,0)),"—")</f>
        <v/>
      </c>
      <c r="O19" s="6" t="inlineStr">
        <is>
          <t>—</t>
        </is>
      </c>
      <c r="P19" s="2" t="inlineStr">
        <is>
          <t>P050122|I</t>
        </is>
      </c>
      <c r="Q19" s="7" t="inlineStr">
        <is>
          <t>registered — issued with the legacy series on 15.05.2026</t>
        </is>
      </c>
    </row>
    <row r="20">
      <c r="A20" s="2">
        <f>IF(C20="yes",COUNT(A$1:A19)+1,"")</f>
        <v/>
      </c>
      <c r="B20" s="3">
        <f>IF(A20&lt;&gt;"","iCoA-PP_26-"&amp;TEXT(A20,"000"),IF(C20="n/a","not needed","— at issue —"))</f>
        <v/>
      </c>
      <c r="C20" s="4" t="inlineStr">
        <is>
          <t>yes</t>
        </is>
      </c>
      <c r="D20" s="5">
        <f>IF(A20="","",IF(G20="legacy",DATE(2026,5,15),IF(ISNUMBER(F20),(F20+5)+CHOOSE(WEEKDAY(F20+5,2),0,0,0,0,0,2,1),"")))</f>
        <v/>
      </c>
      <c r="E20" s="5">
        <f>IFERROR(INDEX('Batch Dates'!$F:$F,MATCH(J20,'Batch Dates'!$C:$C,0)),IFERROR(INDEX('Batch Dates'!$F:$F,MATCH(I20,'Batch Dates'!$B:$B,0)),""))</f>
        <v/>
      </c>
      <c r="F20" s="5">
        <f>IFERROR(INDEX('Batch Dates'!$G:$G,MATCH(J20,'Batch Dates'!$C:$C,0)),IFERROR(INDEX('Batch Dates'!$G:$G,MATCH(I20,'Batch Dates'!$B:$B,0)),""))</f>
        <v/>
      </c>
      <c r="G20" s="2" t="inlineStr">
        <is>
          <t>legacy</t>
        </is>
      </c>
      <c r="H20" s="2" t="inlineStr">
        <is>
          <t>initial release</t>
        </is>
      </c>
      <c r="I20" s="3" t="inlineStr">
        <is>
          <t>OPM052501</t>
        </is>
      </c>
      <c r="J20" s="2" t="inlineStr">
        <is>
          <t>P050132</t>
        </is>
      </c>
      <c r="K20" s="2" t="inlineStr">
        <is>
          <t>Orange Punch Mimosa</t>
        </is>
      </c>
      <c r="L20" s="2" t="inlineStr">
        <is>
          <t>Ident A + Ident B + Foreign matter</t>
        </is>
      </c>
      <c r="M20" s="6" t="inlineStr">
        <is>
          <t>—</t>
        </is>
      </c>
      <c r="N20" s="2">
        <f>IFERROR(INDEX('CoQ Register'!$B:$B,MATCH("P050132|I",'CoQ Register'!$S:$S,0)),"—")</f>
        <v/>
      </c>
      <c r="O20" s="6" t="inlineStr">
        <is>
          <t>—</t>
        </is>
      </c>
      <c r="P20" s="2" t="inlineStr">
        <is>
          <t>P050132|I</t>
        </is>
      </c>
      <c r="Q20" s="7" t="inlineStr">
        <is>
          <t>registered — issued with the legacy series on 15.05.2026</t>
        </is>
      </c>
    </row>
    <row r="21">
      <c r="A21" s="2">
        <f>IF(C21="yes",COUNT(A$1:A20)+1,"")</f>
        <v/>
      </c>
      <c r="B21" s="3">
        <f>IF(A21&lt;&gt;"","iCoA-PP_26-"&amp;TEXT(A21,"000"),IF(C21="n/a","not needed","— at issue —"))</f>
        <v/>
      </c>
      <c r="C21" s="4" t="inlineStr">
        <is>
          <t>yes</t>
        </is>
      </c>
      <c r="D21" s="5">
        <f>IF(A21="","",IF(G21="legacy",DATE(2026,5,15),IF(ISNUMBER(F21),(F21+5)+CHOOSE(WEEKDAY(F21+5,2),0,0,0,0,0,2,1),"")))</f>
        <v/>
      </c>
      <c r="E21" s="5">
        <f>IFERROR(INDEX('Batch Dates'!$F:$F,MATCH(J21,'Batch Dates'!$C:$C,0)),IFERROR(INDEX('Batch Dates'!$F:$F,MATCH(I21,'Batch Dates'!$B:$B,0)),""))</f>
        <v/>
      </c>
      <c r="F21" s="5">
        <f>IFERROR(INDEX('Batch Dates'!$G:$G,MATCH(J21,'Batch Dates'!$C:$C,0)),IFERROR(INDEX('Batch Dates'!$G:$G,MATCH(I21,'Batch Dates'!$B:$B,0)),""))</f>
        <v/>
      </c>
      <c r="G21" s="2" t="inlineStr">
        <is>
          <t>legacy</t>
        </is>
      </c>
      <c r="H21" s="2" t="inlineStr">
        <is>
          <t>initial release</t>
        </is>
      </c>
      <c r="I21" s="3" t="inlineStr">
        <is>
          <t>GP052501</t>
        </is>
      </c>
      <c r="J21" s="2" t="inlineStr">
        <is>
          <t>P050152</t>
        </is>
      </c>
      <c r="K21" s="2" t="inlineStr">
        <is>
          <t>Grape Pie</t>
        </is>
      </c>
      <c r="L21" s="2" t="inlineStr">
        <is>
          <t>Ident A + Ident B + Foreign matter</t>
        </is>
      </c>
      <c r="M21" s="6" t="inlineStr">
        <is>
          <t>—</t>
        </is>
      </c>
      <c r="N21" s="2">
        <f>IFERROR(INDEX('CoQ Register'!$B:$B,MATCH("P050152|I",'CoQ Register'!$S:$S,0)),"—")</f>
        <v/>
      </c>
      <c r="O21" s="2" t="inlineStr">
        <is>
          <t>iCoA-PP-2025-0014</t>
        </is>
      </c>
      <c r="P21" s="2" t="inlineStr">
        <is>
          <t>P050152|I</t>
        </is>
      </c>
      <c r="Q21" s="7" t="inlineStr">
        <is>
          <t>registered — issued with the legacy series on 15.05.2026</t>
        </is>
      </c>
    </row>
    <row r="22">
      <c r="A22" s="2">
        <f>IF(C22="yes",COUNT(A$1:A21)+1,"")</f>
        <v/>
      </c>
      <c r="B22" s="3">
        <f>IF(A22&lt;&gt;"","iCoA-PP_26-"&amp;TEXT(A22,"000"),IF(C22="n/a","not needed","— at issue —"))</f>
        <v/>
      </c>
      <c r="C22" s="4" t="inlineStr">
        <is>
          <t>yes</t>
        </is>
      </c>
      <c r="D22" s="5">
        <f>IF(A22="","",IF(G22="legacy",DATE(2026,5,15),IF(ISNUMBER(F22),(F22+5)+CHOOSE(WEEKDAY(F22+5,2),0,0,0,0,0,2,1),"")))</f>
        <v/>
      </c>
      <c r="E22" s="5">
        <f>IFERROR(INDEX('Batch Dates'!$F:$F,MATCH(J22,'Batch Dates'!$C:$C,0)),IFERROR(INDEX('Batch Dates'!$F:$F,MATCH(I22,'Batch Dates'!$B:$B,0)),""))</f>
        <v/>
      </c>
      <c r="F22" s="5">
        <f>IFERROR(INDEX('Batch Dates'!$G:$G,MATCH(J22,'Batch Dates'!$C:$C,0)),IFERROR(INDEX('Batch Dates'!$G:$G,MATCH(I22,'Batch Dates'!$B:$B,0)),""))</f>
        <v/>
      </c>
      <c r="G22" s="2" t="inlineStr">
        <is>
          <t>legacy</t>
        </is>
      </c>
      <c r="H22" s="2" t="inlineStr">
        <is>
          <t>initial release</t>
        </is>
      </c>
      <c r="I22" s="3" t="inlineStr">
        <is>
          <t>BSS1024_01/2 (from the list)</t>
        </is>
      </c>
      <c r="J22" s="2" t="inlineStr">
        <is>
          <t>P050142</t>
        </is>
      </c>
      <c r="K22" s="2" t="inlineStr">
        <is>
          <t>Blue Sunset Sherbet</t>
        </is>
      </c>
      <c r="L22" s="2" t="inlineStr">
        <is>
          <t>Ident A + Ident B + Foreign matter</t>
        </is>
      </c>
      <c r="M22" s="6" t="inlineStr">
        <is>
          <t>—</t>
        </is>
      </c>
      <c r="N22" s="2">
        <f>IFERROR(INDEX('CoQ Register'!$B:$B,MATCH("P050142|I",'CoQ Register'!$S:$S,0)),"—")</f>
        <v/>
      </c>
      <c r="O22" s="6" t="inlineStr">
        <is>
          <t>—</t>
        </is>
      </c>
      <c r="P22" s="2" t="inlineStr">
        <is>
          <t>P050142|I</t>
        </is>
      </c>
      <c r="Q22" s="7" t="inlineStr">
        <is>
          <t>registered — issued with the legacy series on 15.05.2026</t>
        </is>
      </c>
    </row>
    <row r="23">
      <c r="A23" s="2">
        <f>IF(C23="yes",COUNT(A$1:A22)+1,"")</f>
        <v/>
      </c>
      <c r="B23" s="3">
        <f>IF(A23&lt;&gt;"","iCoA-PP_26-"&amp;TEXT(A23,"000"),IF(C23="n/a","not needed","— at issue —"))</f>
        <v/>
      </c>
      <c r="C23" s="4" t="inlineStr">
        <is>
          <t>yes</t>
        </is>
      </c>
      <c r="D23" s="5">
        <f>IF(A23="","",IF(G23="legacy",DATE(2026,5,15),IF(ISNUMBER(F23),(F23+5)+CHOOSE(WEEKDAY(F23+5,2),0,0,0,0,0,2,1),"")))</f>
        <v/>
      </c>
      <c r="E23" s="5">
        <f>IFERROR(INDEX('Batch Dates'!$F:$F,MATCH(J23,'Batch Dates'!$C:$C,0)),IFERROR(INDEX('Batch Dates'!$F:$F,MATCH(I23,'Batch Dates'!$B:$B,0)),""))</f>
        <v/>
      </c>
      <c r="F23" s="5">
        <f>IFERROR(INDEX('Batch Dates'!$G:$G,MATCH(J23,'Batch Dates'!$C:$C,0)),IFERROR(INDEX('Batch Dates'!$G:$G,MATCH(I23,'Batch Dates'!$B:$B,0)),""))</f>
        <v/>
      </c>
      <c r="G23" s="2" t="inlineStr">
        <is>
          <t>legacy</t>
        </is>
      </c>
      <c r="H23" s="2" t="inlineStr">
        <is>
          <t>initial release</t>
        </is>
      </c>
      <c r="I23" s="3" t="inlineStr">
        <is>
          <t>CJ052501/01</t>
        </is>
      </c>
      <c r="J23" s="2" t="inlineStr">
        <is>
          <t>P050162</t>
        </is>
      </c>
      <c r="K23" s="2" t="inlineStr">
        <is>
          <t>Cup Junky</t>
        </is>
      </c>
      <c r="L23" s="2" t="inlineStr">
        <is>
          <t>Ident A + Ident B + Foreign matter</t>
        </is>
      </c>
      <c r="M23" s="6" t="inlineStr">
        <is>
          <t>—</t>
        </is>
      </c>
      <c r="N23" s="2">
        <f>IFERROR(INDEX('CoQ Register'!$B:$B,MATCH("P050162|I",'CoQ Register'!$S:$S,0)),"—")</f>
        <v/>
      </c>
      <c r="O23" s="2" t="inlineStr">
        <is>
          <t>iCoA-PP-2025-0015</t>
        </is>
      </c>
      <c r="P23" s="2" t="inlineStr">
        <is>
          <t>P050162|I</t>
        </is>
      </c>
      <c r="Q23" s="7" t="inlineStr">
        <is>
          <t>registered — issued with the legacy series on 15.05.2026</t>
        </is>
      </c>
    </row>
    <row r="24">
      <c r="A24" s="2">
        <f>IF(C24="yes",COUNT(A$1:A23)+1,"")</f>
        <v/>
      </c>
      <c r="B24" s="3">
        <f>IF(A24&lt;&gt;"","iCoA-PP_26-"&amp;TEXT(A24,"000"),IF(C24="n/a","not needed","— at issue —"))</f>
        <v/>
      </c>
      <c r="C24" s="4" t="inlineStr">
        <is>
          <t>yes</t>
        </is>
      </c>
      <c r="D24" s="5">
        <f>IF(A24="","",IF(G24="legacy",DATE(2026,5,15),IF(ISNUMBER(F24),(F24+5)+CHOOSE(WEEKDAY(F24+5,2),0,0,0,0,0,2,1),"")))</f>
        <v/>
      </c>
      <c r="E24" s="5">
        <f>IFERROR(INDEX('Batch Dates'!$F:$F,MATCH(J24,'Batch Dates'!$C:$C,0)),IFERROR(INDEX('Batch Dates'!$F:$F,MATCH(I24,'Batch Dates'!$B:$B,0)),""))</f>
        <v/>
      </c>
      <c r="F24" s="5">
        <f>IFERROR(INDEX('Batch Dates'!$G:$G,MATCH(J24,'Batch Dates'!$C:$C,0)),IFERROR(INDEX('Batch Dates'!$G:$G,MATCH(I24,'Batch Dates'!$B:$B,0)),""))</f>
        <v/>
      </c>
      <c r="G24" s="2" t="inlineStr">
        <is>
          <t>legacy</t>
        </is>
      </c>
      <c r="H24" s="2" t="inlineStr">
        <is>
          <t>initial release</t>
        </is>
      </c>
      <c r="I24" s="3" t="inlineStr">
        <is>
          <t>CJ052501/02</t>
        </is>
      </c>
      <c r="J24" s="2" t="inlineStr">
        <is>
          <t>P050172</t>
        </is>
      </c>
      <c r="K24" s="2" t="inlineStr">
        <is>
          <t>Cap Junky</t>
        </is>
      </c>
      <c r="L24" s="2" t="inlineStr">
        <is>
          <t>Ident A + Ident B + Foreign matter</t>
        </is>
      </c>
      <c r="M24" s="6" t="inlineStr">
        <is>
          <t>—</t>
        </is>
      </c>
      <c r="N24" s="2">
        <f>IFERROR(INDEX('CoQ Register'!$B:$B,MATCH("P050172|I",'CoQ Register'!$S:$S,0)),"—")</f>
        <v/>
      </c>
      <c r="O24" s="6" t="inlineStr">
        <is>
          <t>—</t>
        </is>
      </c>
      <c r="P24" s="2" t="inlineStr">
        <is>
          <t>P050172|I</t>
        </is>
      </c>
      <c r="Q24" s="7" t="inlineStr">
        <is>
          <t>registered — issued with the legacy series on 15.05.2026</t>
        </is>
      </c>
    </row>
    <row r="25">
      <c r="A25" s="2">
        <f>IF(C25="yes",COUNT(A$1:A24)+1,"")</f>
        <v/>
      </c>
      <c r="B25" s="3">
        <f>IF(A25&lt;&gt;"","iCoA-PP_26-"&amp;TEXT(A25,"000"),IF(C25="n/a","not needed","— at issue —"))</f>
        <v/>
      </c>
      <c r="C25" s="4" t="inlineStr">
        <is>
          <t>yes</t>
        </is>
      </c>
      <c r="D25" s="5">
        <f>IF(A25="","",IF(G25="legacy",DATE(2026,5,15),IF(ISNUMBER(F25),(F25+5)+CHOOSE(WEEKDAY(F25+5,2),0,0,0,0,0,2,1),"")))</f>
        <v/>
      </c>
      <c r="E25" s="5">
        <f>IFERROR(INDEX('Batch Dates'!$F:$F,MATCH(J25,'Batch Dates'!$C:$C,0)),IFERROR(INDEX('Batch Dates'!$F:$F,MATCH(I25,'Batch Dates'!$B:$B,0)),""))</f>
        <v/>
      </c>
      <c r="F25" s="5">
        <f>IFERROR(INDEX('Batch Dates'!$G:$G,MATCH(J25,'Batch Dates'!$C:$C,0)),IFERROR(INDEX('Batch Dates'!$G:$G,MATCH(I25,'Batch Dates'!$B:$B,0)),""))</f>
        <v/>
      </c>
      <c r="G25" s="2" t="inlineStr">
        <is>
          <t>legacy</t>
        </is>
      </c>
      <c r="H25" s="2" t="inlineStr">
        <is>
          <t>initial release</t>
        </is>
      </c>
      <c r="I25" s="3" t="inlineStr">
        <is>
          <t>HPA052501</t>
        </is>
      </c>
      <c r="J25" s="2" t="inlineStr">
        <is>
          <t>P050182</t>
        </is>
      </c>
      <c r="K25" s="2" t="inlineStr">
        <is>
          <t>High Pro Amnesia</t>
        </is>
      </c>
      <c r="L25" s="2" t="inlineStr">
        <is>
          <t>Ident A + Ident B + Foreign matter</t>
        </is>
      </c>
      <c r="M25" s="6" t="inlineStr">
        <is>
          <t>—</t>
        </is>
      </c>
      <c r="N25" s="2">
        <f>IFERROR(INDEX('CoQ Register'!$B:$B,MATCH("P050182|I",'CoQ Register'!$S:$S,0)),"—")</f>
        <v/>
      </c>
      <c r="O25" s="2" t="inlineStr">
        <is>
          <t>iCoA-PP-2025-0016</t>
        </is>
      </c>
      <c r="P25" s="2" t="inlineStr">
        <is>
          <t>P050182|I</t>
        </is>
      </c>
      <c r="Q25" s="7" t="inlineStr">
        <is>
          <t>registered — issued with the legacy series on 15.05.2026</t>
        </is>
      </c>
    </row>
    <row r="26">
      <c r="A26" s="2">
        <f>IF(C26="yes",COUNT(A$1:A25)+1,"")</f>
        <v/>
      </c>
      <c r="B26" s="3">
        <f>IF(A26&lt;&gt;"","iCoA-PP_26-"&amp;TEXT(A26,"000"),IF(C26="n/a","not needed","— at issue —"))</f>
        <v/>
      </c>
      <c r="C26" s="4" t="inlineStr">
        <is>
          <t>yes</t>
        </is>
      </c>
      <c r="D26" s="5">
        <f>IF(A26="","",IF(G26="legacy",DATE(2026,5,15),IF(ISNUMBER(F26),(F26+5)+CHOOSE(WEEKDAY(F26+5,2),0,0,0,0,0,2,1),"")))</f>
        <v/>
      </c>
      <c r="E26" s="5">
        <f>IFERROR(INDEX('Batch Dates'!$F:$F,MATCH(J26,'Batch Dates'!$C:$C,0)),IFERROR(INDEX('Batch Dates'!$F:$F,MATCH(I26,'Batch Dates'!$B:$B,0)),""))</f>
        <v/>
      </c>
      <c r="F26" s="5">
        <f>IFERROR(INDEX('Batch Dates'!$G:$G,MATCH(J26,'Batch Dates'!$C:$C,0)),IFERROR(INDEX('Batch Dates'!$G:$G,MATCH(I26,'Batch Dates'!$B:$B,0)),""))</f>
        <v/>
      </c>
      <c r="G26" s="2" t="inlineStr">
        <is>
          <t>legacy</t>
        </is>
      </c>
      <c r="H26" s="2" t="inlineStr">
        <is>
          <t>initial release</t>
        </is>
      </c>
      <c r="I26" s="3" t="inlineStr">
        <is>
          <t>BSS052501</t>
        </is>
      </c>
      <c r="J26" s="2" t="inlineStr">
        <is>
          <t>P050192</t>
        </is>
      </c>
      <c r="K26" s="2" t="inlineStr">
        <is>
          <t>Sleepy Joe</t>
        </is>
      </c>
      <c r="L26" s="2" t="inlineStr">
        <is>
          <t>Ident A + Ident B + Foreign matter</t>
        </is>
      </c>
      <c r="M26" s="6" t="inlineStr">
        <is>
          <t>—</t>
        </is>
      </c>
      <c r="N26" s="2">
        <f>IFERROR(INDEX('CoQ Register'!$B:$B,MATCH("P050192|I",'CoQ Register'!$S:$S,0)),"—")</f>
        <v/>
      </c>
      <c r="O26" s="2" t="inlineStr">
        <is>
          <t>iCoA-PP-2025-0017</t>
        </is>
      </c>
      <c r="P26" s="2" t="inlineStr">
        <is>
          <t>P050192|I</t>
        </is>
      </c>
      <c r="Q26" s="7" t="inlineStr">
        <is>
          <t>registered — issued with the legacy series on 15.05.2026</t>
        </is>
      </c>
    </row>
    <row r="27">
      <c r="A27" s="2">
        <f>IF(C27="yes",COUNT(A$1:A26)+1,"")</f>
        <v/>
      </c>
      <c r="B27" s="3">
        <f>IF(A27&lt;&gt;"","iCoA-PP_26-"&amp;TEXT(A27,"000"),IF(C27="n/a","not needed","— at issue —"))</f>
        <v/>
      </c>
      <c r="C27" s="4" t="inlineStr">
        <is>
          <t>yes</t>
        </is>
      </c>
      <c r="D27" s="5">
        <f>IF(A27="","",IF(G27="legacy",DATE(2026,5,15),IF(ISNUMBER(F27),(F27+5)+CHOOSE(WEEKDAY(F27+5,2),0,0,0,0,0,2,1),"")))</f>
        <v/>
      </c>
      <c r="E27" s="5">
        <f>IFERROR(INDEX('Batch Dates'!$F:$F,MATCH(J27,'Batch Dates'!$C:$C,0)),IFERROR(INDEX('Batch Dates'!$F:$F,MATCH(I27,'Batch Dates'!$B:$B,0)),""))</f>
        <v/>
      </c>
      <c r="F27" s="5">
        <f>IFERROR(INDEX('Batch Dates'!$G:$G,MATCH(J27,'Batch Dates'!$C:$C,0)),IFERROR(INDEX('Batch Dates'!$G:$G,MATCH(I27,'Batch Dates'!$B:$B,0)),""))</f>
        <v/>
      </c>
      <c r="G27" s="2" t="inlineStr">
        <is>
          <t>legacy</t>
        </is>
      </c>
      <c r="H27" s="2" t="inlineStr">
        <is>
          <t>initial release</t>
        </is>
      </c>
      <c r="I27" s="3" t="inlineStr">
        <is>
          <t>GP062501</t>
        </is>
      </c>
      <c r="J27" s="2" t="inlineStr">
        <is>
          <t>P050202</t>
        </is>
      </c>
      <c r="K27" s="2" t="inlineStr">
        <is>
          <t>Grape Pie</t>
        </is>
      </c>
      <c r="L27" s="2" t="inlineStr">
        <is>
          <t>Ident A + Ident B + Foreign matter</t>
        </is>
      </c>
      <c r="M27" s="6" t="inlineStr">
        <is>
          <t>—</t>
        </is>
      </c>
      <c r="N27" s="2">
        <f>IFERROR(INDEX('CoQ Register'!$B:$B,MATCH("P050202|I",'CoQ Register'!$S:$S,0)),"—")</f>
        <v/>
      </c>
      <c r="O27" s="6" t="inlineStr">
        <is>
          <t>—</t>
        </is>
      </c>
      <c r="P27" s="2" t="inlineStr">
        <is>
          <t>P050202|I</t>
        </is>
      </c>
      <c r="Q27" s="7" t="inlineStr">
        <is>
          <t>registered — issued with the legacy series on 15.05.2026</t>
        </is>
      </c>
    </row>
    <row r="28">
      <c r="A28" s="2">
        <f>IF(C28="yes",COUNT(A$1:A27)+1,"")</f>
        <v/>
      </c>
      <c r="B28" s="3">
        <f>IF(A28&lt;&gt;"","iCoA-PP_26-"&amp;TEXT(A28,"000"),IF(C28="n/a","not needed","— at issue —"))</f>
        <v/>
      </c>
      <c r="C28" s="4" t="inlineStr">
        <is>
          <t>yes</t>
        </is>
      </c>
      <c r="D28" s="5">
        <f>IF(A28="","",IF(G28="legacy",DATE(2026,5,15),IF(ISNUMBER(F28),(F28+5)+CHOOSE(WEEKDAY(F28+5,2),0,0,0,0,0,2,1),"")))</f>
        <v/>
      </c>
      <c r="E28" s="5">
        <f>IFERROR(INDEX('Batch Dates'!$F:$F,MATCH(J28,'Batch Dates'!$C:$C,0)),IFERROR(INDEX('Batch Dates'!$F:$F,MATCH(I28,'Batch Dates'!$B:$B,0)),""))</f>
        <v/>
      </c>
      <c r="F28" s="5">
        <f>IFERROR(INDEX('Batch Dates'!$G:$G,MATCH(J28,'Batch Dates'!$C:$C,0)),IFERROR(INDEX('Batch Dates'!$G:$G,MATCH(I28,'Batch Dates'!$B:$B,0)),""))</f>
        <v/>
      </c>
      <c r="G28" s="2" t="inlineStr">
        <is>
          <t>legacy</t>
        </is>
      </c>
      <c r="H28" s="2" t="inlineStr">
        <is>
          <t>initial release</t>
        </is>
      </c>
      <c r="I28" s="3" t="inlineStr">
        <is>
          <t>CJ062501/2</t>
        </is>
      </c>
      <c r="J28" s="2" t="inlineStr">
        <is>
          <t>P050212</t>
        </is>
      </c>
      <c r="K28" s="2" t="inlineStr">
        <is>
          <t>Cap Junkie</t>
        </is>
      </c>
      <c r="L28" s="2" t="inlineStr">
        <is>
          <t>Ident A + Ident B + Foreign matter</t>
        </is>
      </c>
      <c r="M28" s="6" t="inlineStr">
        <is>
          <t>—</t>
        </is>
      </c>
      <c r="N28" s="2">
        <f>IFERROR(INDEX('CoQ Register'!$B:$B,MATCH("P050212|I",'CoQ Register'!$S:$S,0)),"—")</f>
        <v/>
      </c>
      <c r="O28" s="6" t="inlineStr">
        <is>
          <t>—</t>
        </is>
      </c>
      <c r="P28" s="2" t="inlineStr">
        <is>
          <t>P050212|I</t>
        </is>
      </c>
      <c r="Q28" s="7" t="inlineStr">
        <is>
          <t>registered — issued with the legacy series on 15.05.2026</t>
        </is>
      </c>
    </row>
    <row r="29">
      <c r="A29" s="2">
        <f>IF(C29="yes",COUNT(A$1:A28)+1,"")</f>
        <v/>
      </c>
      <c r="B29" s="3">
        <f>IF(A29&lt;&gt;"","iCoA-PP_26-"&amp;TEXT(A29,"000"),IF(C29="n/a","not needed","— at issue —"))</f>
        <v/>
      </c>
      <c r="C29" s="4" t="inlineStr">
        <is>
          <t>yes</t>
        </is>
      </c>
      <c r="D29" s="5">
        <f>IF(A29="","",IF(G29="legacy",DATE(2026,5,15),IF(ISNUMBER(F29),(F29+5)+CHOOSE(WEEKDAY(F29+5,2),0,0,0,0,0,2,1),"")))</f>
        <v/>
      </c>
      <c r="E29" s="5">
        <f>IFERROR(INDEX('Batch Dates'!$F:$F,MATCH(J29,'Batch Dates'!$C:$C,0)),IFERROR(INDEX('Batch Dates'!$F:$F,MATCH(I29,'Batch Dates'!$B:$B,0)),""))</f>
        <v/>
      </c>
      <c r="F29" s="5">
        <f>IFERROR(INDEX('Batch Dates'!$G:$G,MATCH(J29,'Batch Dates'!$C:$C,0)),IFERROR(INDEX('Batch Dates'!$G:$G,MATCH(I29,'Batch Dates'!$B:$B,0)),""))</f>
        <v/>
      </c>
      <c r="G29" s="2" t="inlineStr">
        <is>
          <t>legacy</t>
        </is>
      </c>
      <c r="H29" s="2" t="inlineStr">
        <is>
          <t>initial release</t>
        </is>
      </c>
      <c r="I29" s="3" t="inlineStr">
        <is>
          <t>CJ062501/1</t>
        </is>
      </c>
      <c r="J29" s="2" t="inlineStr">
        <is>
          <t>P050222</t>
        </is>
      </c>
      <c r="K29" s="2" t="inlineStr">
        <is>
          <t>Cap Junkie</t>
        </is>
      </c>
      <c r="L29" s="2" t="inlineStr">
        <is>
          <t>Ident A + Ident B + Foreign matter</t>
        </is>
      </c>
      <c r="M29" s="6" t="inlineStr">
        <is>
          <t>—</t>
        </is>
      </c>
      <c r="N29" s="2">
        <f>IFERROR(INDEX('CoQ Register'!$B:$B,MATCH("P050222|I",'CoQ Register'!$S:$S,0)),"—")</f>
        <v/>
      </c>
      <c r="O29" s="2" t="inlineStr">
        <is>
          <t>iCoA-PP-2025-0018</t>
        </is>
      </c>
      <c r="P29" s="2" t="inlineStr">
        <is>
          <t>P050222|I</t>
        </is>
      </c>
      <c r="Q29" s="7" t="inlineStr">
        <is>
          <t>registered — issued with the legacy series on 15.05.2026</t>
        </is>
      </c>
    </row>
    <row r="30">
      <c r="A30" s="2">
        <f>IF(C30="yes",COUNT(A$1:A29)+1,"")</f>
        <v/>
      </c>
      <c r="B30" s="3">
        <f>IF(A30&lt;&gt;"","iCoA-PP_26-"&amp;TEXT(A30,"000"),IF(C30="n/a","not needed","— at issue —"))</f>
        <v/>
      </c>
      <c r="C30" s="4" t="inlineStr">
        <is>
          <t>yes</t>
        </is>
      </c>
      <c r="D30" s="5">
        <f>IF(A30="","",IF(G30="legacy",DATE(2026,5,15),IF(ISNUMBER(F30),(F30+5)+CHOOSE(WEEKDAY(F30+5,2),0,0,0,0,0,2,1),"")))</f>
        <v/>
      </c>
      <c r="E30" s="5">
        <f>IFERROR(INDEX('Batch Dates'!$F:$F,MATCH(J30,'Batch Dates'!$C:$C,0)),IFERROR(INDEX('Batch Dates'!$F:$F,MATCH(I30,'Batch Dates'!$B:$B,0)),""))</f>
        <v/>
      </c>
      <c r="F30" s="5">
        <f>IFERROR(INDEX('Batch Dates'!$G:$G,MATCH(J30,'Batch Dates'!$C:$C,0)),IFERROR(INDEX('Batch Dates'!$G:$G,MATCH(I30,'Batch Dates'!$B:$B,0)),""))</f>
        <v/>
      </c>
      <c r="G30" s="2" t="inlineStr">
        <is>
          <t>legacy</t>
        </is>
      </c>
      <c r="H30" s="2" t="inlineStr">
        <is>
          <t>initial release</t>
        </is>
      </c>
      <c r="I30" s="3" t="inlineStr">
        <is>
          <t>CJ072501</t>
        </is>
      </c>
      <c r="J30" s="2" t="inlineStr">
        <is>
          <t>P050252</t>
        </is>
      </c>
      <c r="K30" s="2" t="inlineStr">
        <is>
          <t>Cap Junky</t>
        </is>
      </c>
      <c r="L30" s="2" t="inlineStr">
        <is>
          <t>Ident A + Ident B + Foreign matter</t>
        </is>
      </c>
      <c r="M30" s="6" t="inlineStr">
        <is>
          <t>—</t>
        </is>
      </c>
      <c r="N30" s="2">
        <f>IFERROR(INDEX('CoQ Register'!$B:$B,MATCH("P050252|I",'CoQ Register'!$S:$S,0)),"—")</f>
        <v/>
      </c>
      <c r="O30" s="6" t="inlineStr">
        <is>
          <t>—</t>
        </is>
      </c>
      <c r="P30" s="2" t="inlineStr">
        <is>
          <t>P050252|I</t>
        </is>
      </c>
      <c r="Q30" s="7" t="inlineStr">
        <is>
          <t>registered — issued with the legacy series on 15.05.2026</t>
        </is>
      </c>
    </row>
    <row r="31">
      <c r="A31" s="2">
        <f>IF(C31="yes",COUNT(A$1:A30)+1,"")</f>
        <v/>
      </c>
      <c r="B31" s="3">
        <f>IF(A31&lt;&gt;"","iCoA-PP_26-"&amp;TEXT(A31,"000"),IF(C31="n/a","not needed","— at issue —"))</f>
        <v/>
      </c>
      <c r="C31" s="4" t="inlineStr">
        <is>
          <t>yes</t>
        </is>
      </c>
      <c r="D31" s="5">
        <f>IF(A31="","",IF(G31="legacy",DATE(2026,5,15),IF(ISNUMBER(F31),(F31+5)+CHOOSE(WEEKDAY(F31+5,2),0,0,0,0,0,2,1),"")))</f>
        <v/>
      </c>
      <c r="E31" s="5">
        <f>IFERROR(INDEX('Batch Dates'!$F:$F,MATCH(J31,'Batch Dates'!$C:$C,0)),IFERROR(INDEX('Batch Dates'!$F:$F,MATCH(I31,'Batch Dates'!$B:$B,0)),""))</f>
        <v/>
      </c>
      <c r="F31" s="5">
        <f>IFERROR(INDEX('Batch Dates'!$G:$G,MATCH(J31,'Batch Dates'!$C:$C,0)),IFERROR(INDEX('Batch Dates'!$G:$G,MATCH(I31,'Batch Dates'!$B:$B,0)),""))</f>
        <v/>
      </c>
      <c r="G31" s="2" t="inlineStr">
        <is>
          <t>legacy</t>
        </is>
      </c>
      <c r="H31" s="2" t="inlineStr">
        <is>
          <t>initial release</t>
        </is>
      </c>
      <c r="I31" s="3" t="inlineStr">
        <is>
          <t>WC072501</t>
        </is>
      </c>
      <c r="J31" s="2" t="inlineStr">
        <is>
          <t>P050262</t>
        </is>
      </c>
      <c r="K31" s="2" t="inlineStr">
        <is>
          <t>Wedding Crusher</t>
        </is>
      </c>
      <c r="L31" s="2" t="inlineStr">
        <is>
          <t>Ident A + Ident B + Foreign matter</t>
        </is>
      </c>
      <c r="M31" s="6" t="inlineStr">
        <is>
          <t>—</t>
        </is>
      </c>
      <c r="N31" s="2">
        <f>IFERROR(INDEX('CoQ Register'!$B:$B,MATCH("P050262|I",'CoQ Register'!$S:$S,0)),"—")</f>
        <v/>
      </c>
      <c r="O31" s="6" t="inlineStr">
        <is>
          <t>—</t>
        </is>
      </c>
      <c r="P31" s="2" t="inlineStr">
        <is>
          <t>P050262|I</t>
        </is>
      </c>
      <c r="Q31" s="7" t="inlineStr">
        <is>
          <t>registered — issued with the legacy series on 15.05.2026</t>
        </is>
      </c>
    </row>
    <row r="32">
      <c r="A32" s="2">
        <f>IF(C32="yes",COUNT(A$1:A31)+1,"")</f>
        <v/>
      </c>
      <c r="B32" s="3">
        <f>IF(A32&lt;&gt;"","iCoA-PP_26-"&amp;TEXT(A32,"000"),IF(C32="n/a","not needed","— at issue —"))</f>
        <v/>
      </c>
      <c r="C32" s="4" t="inlineStr">
        <is>
          <t>yes</t>
        </is>
      </c>
      <c r="D32" s="5">
        <f>IF(A32="","",IF(G32="legacy",DATE(2026,5,15),IF(ISNUMBER(F32),(F32+5)+CHOOSE(WEEKDAY(F32+5,2),0,0,0,0,0,2,1),"")))</f>
        <v/>
      </c>
      <c r="E32" s="5">
        <f>IFERROR(INDEX('Batch Dates'!$F:$F,MATCH(J32,'Batch Dates'!$C:$C,0)),IFERROR(INDEX('Batch Dates'!$F:$F,MATCH(I32,'Batch Dates'!$B:$B,0)),""))</f>
        <v/>
      </c>
      <c r="F32" s="5">
        <f>IFERROR(INDEX('Batch Dates'!$G:$G,MATCH(J32,'Batch Dates'!$C:$C,0)),IFERROR(INDEX('Batch Dates'!$G:$G,MATCH(I32,'Batch Dates'!$B:$B,0)),""))</f>
        <v/>
      </c>
      <c r="G32" s="2" t="inlineStr">
        <is>
          <t>legacy</t>
        </is>
      </c>
      <c r="H32" s="2" t="inlineStr">
        <is>
          <t>initial release</t>
        </is>
      </c>
      <c r="I32" s="3" t="inlineStr">
        <is>
          <t>PM072501</t>
        </is>
      </c>
      <c r="J32" s="2" t="inlineStr">
        <is>
          <t>P050272</t>
        </is>
      </c>
      <c r="K32" s="2" t="inlineStr">
        <is>
          <t>Permanent Marker</t>
        </is>
      </c>
      <c r="L32" s="2" t="inlineStr">
        <is>
          <t>Ident A + Ident B + Foreign matter</t>
        </is>
      </c>
      <c r="M32" s="6" t="inlineStr">
        <is>
          <t>—</t>
        </is>
      </c>
      <c r="N32" s="2">
        <f>IFERROR(INDEX('CoQ Register'!$B:$B,MATCH("P050272|I",'CoQ Register'!$S:$S,0)),"—")</f>
        <v/>
      </c>
      <c r="O32" s="6" t="inlineStr">
        <is>
          <t>—</t>
        </is>
      </c>
      <c r="P32" s="2" t="inlineStr">
        <is>
          <t>P050272|I</t>
        </is>
      </c>
      <c r="Q32" s="7" t="inlineStr">
        <is>
          <t>registered — issued with the legacy series on 15.05.2026</t>
        </is>
      </c>
    </row>
    <row r="33">
      <c r="A33" s="2">
        <f>IF(C33="yes",COUNT(A$1:A32)+1,"")</f>
        <v/>
      </c>
      <c r="B33" s="3">
        <f>IF(A33&lt;&gt;"","iCoA-PP_26-"&amp;TEXT(A33,"000"),IF(C33="n/a","not needed","— at issue —"))</f>
        <v/>
      </c>
      <c r="C33" s="4" t="inlineStr">
        <is>
          <t>yes</t>
        </is>
      </c>
      <c r="D33" s="5">
        <f>IF(A33="","",IF(G33="legacy",DATE(2026,5,15),IF(ISNUMBER(F33),(F33+5)+CHOOSE(WEEKDAY(F33+5,2),0,0,0,0,0,2,1),"")))</f>
        <v/>
      </c>
      <c r="E33" s="5">
        <f>IFERROR(INDEX('Batch Dates'!$F:$F,MATCH(J33,'Batch Dates'!$C:$C,0)),IFERROR(INDEX('Batch Dates'!$F:$F,MATCH(I33,'Batch Dates'!$B:$B,0)),""))</f>
        <v/>
      </c>
      <c r="F33" s="5">
        <f>IFERROR(INDEX('Batch Dates'!$G:$G,MATCH(J33,'Batch Dates'!$C:$C,0)),IFERROR(INDEX('Batch Dates'!$G:$G,MATCH(I33,'Batch Dates'!$B:$B,0)),""))</f>
        <v/>
      </c>
      <c r="G33" s="2" t="inlineStr">
        <is>
          <t>legacy</t>
        </is>
      </c>
      <c r="H33" s="2" t="inlineStr">
        <is>
          <t>initial release</t>
        </is>
      </c>
      <c r="I33" s="3" t="inlineStr">
        <is>
          <t>CLE072501</t>
        </is>
      </c>
      <c r="J33" s="2" t="inlineStr">
        <is>
          <t>P050282</t>
        </is>
      </c>
      <c r="K33" s="2" t="inlineStr">
        <is>
          <t>Clemosa a bud</t>
        </is>
      </c>
      <c r="L33" s="2" t="inlineStr">
        <is>
          <t>Ident A + Ident B + Foreign matter</t>
        </is>
      </c>
      <c r="M33" s="6" t="inlineStr">
        <is>
          <t>—</t>
        </is>
      </c>
      <c r="N33" s="2">
        <f>IFERROR(INDEX('CoQ Register'!$B:$B,MATCH("P050282|I",'CoQ Register'!$S:$S,0)),"—")</f>
        <v/>
      </c>
      <c r="O33" s="2" t="inlineStr">
        <is>
          <t>iCoA-PP-2025-0019</t>
        </is>
      </c>
      <c r="P33" s="2" t="inlineStr">
        <is>
          <t>P050282|I</t>
        </is>
      </c>
      <c r="Q33" s="7" t="inlineStr">
        <is>
          <t>registered — issued with the legacy series on 15.05.2026</t>
        </is>
      </c>
    </row>
    <row r="34">
      <c r="A34" s="2">
        <f>IF(C34="yes",COUNT(A$1:A33)+1,"")</f>
        <v/>
      </c>
      <c r="B34" s="3">
        <f>IF(A34&lt;&gt;"","iCoA-PP_26-"&amp;TEXT(A34,"000"),IF(C34="n/a","not needed","— at issue —"))</f>
        <v/>
      </c>
      <c r="C34" s="4" t="inlineStr">
        <is>
          <t>yes</t>
        </is>
      </c>
      <c r="D34" s="5">
        <f>IF(A34="","",IF(G34="legacy",DATE(2026,5,15),IF(ISNUMBER(F34),(F34+5)+CHOOSE(WEEKDAY(F34+5,2),0,0,0,0,0,2,1),"")))</f>
        <v/>
      </c>
      <c r="E34" s="5">
        <f>IFERROR(INDEX('Batch Dates'!$F:$F,MATCH(J34,'Batch Dates'!$C:$C,0)),IFERROR(INDEX('Batch Dates'!$F:$F,MATCH(I34,'Batch Dates'!$B:$B,0)),""))</f>
        <v/>
      </c>
      <c r="F34" s="5">
        <f>IFERROR(INDEX('Batch Dates'!$G:$G,MATCH(J34,'Batch Dates'!$C:$C,0)),IFERROR(INDEX('Batch Dates'!$G:$G,MATCH(I34,'Batch Dates'!$B:$B,0)),""))</f>
        <v/>
      </c>
      <c r="G34" s="2" t="inlineStr">
        <is>
          <t>legacy</t>
        </is>
      </c>
      <c r="H34" s="2" t="inlineStr">
        <is>
          <t>initial release</t>
        </is>
      </c>
      <c r="I34" s="3" t="inlineStr">
        <is>
          <t>GP072501/1</t>
        </is>
      </c>
      <c r="J34" s="2" t="inlineStr">
        <is>
          <t>P050292</t>
        </is>
      </c>
      <c r="K34" s="2" t="inlineStr">
        <is>
          <t>Grape Pie</t>
        </is>
      </c>
      <c r="L34" s="2" t="inlineStr">
        <is>
          <t>Ident A + Ident B + Foreign matter</t>
        </is>
      </c>
      <c r="M34" s="6" t="inlineStr">
        <is>
          <t>—</t>
        </is>
      </c>
      <c r="N34" s="2">
        <f>IFERROR(INDEX('CoQ Register'!$B:$B,MATCH("P050292|I",'CoQ Register'!$S:$S,0)),"—")</f>
        <v/>
      </c>
      <c r="O34" s="6" t="inlineStr">
        <is>
          <t>—</t>
        </is>
      </c>
      <c r="P34" s="2" t="inlineStr">
        <is>
          <t>P050292|I</t>
        </is>
      </c>
      <c r="Q34" s="7" t="inlineStr">
        <is>
          <t>registered — issued with the legacy series on 15.05.2026</t>
        </is>
      </c>
    </row>
    <row r="35">
      <c r="A35" s="2">
        <f>IF(C35="yes",COUNT(A$1:A34)+1,"")</f>
        <v/>
      </c>
      <c r="B35" s="3">
        <f>IF(A35&lt;&gt;"","iCoA-PP_26-"&amp;TEXT(A35,"000"),IF(C35="n/a","not needed","— at issue —"))</f>
        <v/>
      </c>
      <c r="C35" s="4" t="inlineStr">
        <is>
          <t>yes</t>
        </is>
      </c>
      <c r="D35" s="5">
        <f>IF(A35="","",IF(G35="legacy",DATE(2026,5,15),IF(ISNUMBER(F35),(F35+5)+CHOOSE(WEEKDAY(F35+5,2),0,0,0,0,0,2,1),"")))</f>
        <v/>
      </c>
      <c r="E35" s="5">
        <f>IFERROR(INDEX('Batch Dates'!$F:$F,MATCH(J35,'Batch Dates'!$C:$C,0)),IFERROR(INDEX('Batch Dates'!$F:$F,MATCH(I35,'Batch Dates'!$B:$B,0)),""))</f>
        <v/>
      </c>
      <c r="F35" s="5">
        <f>IFERROR(INDEX('Batch Dates'!$G:$G,MATCH(J35,'Batch Dates'!$C:$C,0)),IFERROR(INDEX('Batch Dates'!$G:$G,MATCH(I35,'Batch Dates'!$B:$B,0)),""))</f>
        <v/>
      </c>
      <c r="G35" s="2" t="inlineStr">
        <is>
          <t>legacy</t>
        </is>
      </c>
      <c r="H35" s="2" t="inlineStr">
        <is>
          <t>initial release</t>
        </is>
      </c>
      <c r="I35" s="3" t="inlineStr">
        <is>
          <t>GP072501/2</t>
        </is>
      </c>
      <c r="J35" s="2" t="inlineStr">
        <is>
          <t>P050302</t>
        </is>
      </c>
      <c r="K35" s="2" t="inlineStr">
        <is>
          <t>Grape Pie</t>
        </is>
      </c>
      <c r="L35" s="2" t="inlineStr">
        <is>
          <t>Ident A + Ident B + Foreign matter</t>
        </is>
      </c>
      <c r="M35" s="6" t="inlineStr">
        <is>
          <t>—</t>
        </is>
      </c>
      <c r="N35" s="2">
        <f>IFERROR(INDEX('CoQ Register'!$B:$B,MATCH("P050302|I",'CoQ Register'!$S:$S,0)),"—")</f>
        <v/>
      </c>
      <c r="O35" s="2" t="inlineStr">
        <is>
          <t>iCoA-PP-2025-0020</t>
        </is>
      </c>
      <c r="P35" s="2" t="inlineStr">
        <is>
          <t>P050302|I</t>
        </is>
      </c>
      <c r="Q35" s="7" t="inlineStr">
        <is>
          <t>registered — issued with the legacy series on 15.05.2026</t>
        </is>
      </c>
    </row>
    <row r="36">
      <c r="A36" s="2">
        <f>IF(C36="yes",COUNT(A$1:A35)+1,"")</f>
        <v/>
      </c>
      <c r="B36" s="3">
        <f>IF(A36&lt;&gt;"","iCoA-PP_26-"&amp;TEXT(A36,"000"),IF(C36="n/a","not needed","— at issue —"))</f>
        <v/>
      </c>
      <c r="C36" s="4" t="inlineStr">
        <is>
          <t>yes</t>
        </is>
      </c>
      <c r="D36" s="5">
        <f>IF(A36="","",IF(G36="legacy",DATE(2026,5,15),IF(ISNUMBER(F36),(F36+5)+CHOOSE(WEEKDAY(F36+5,2),0,0,0,0,0,2,1),"")))</f>
        <v/>
      </c>
      <c r="E36" s="5">
        <f>IFERROR(INDEX('Batch Dates'!$F:$F,MATCH(J36,'Batch Dates'!$C:$C,0)),IFERROR(INDEX('Batch Dates'!$F:$F,MATCH(I36,'Batch Dates'!$B:$B,0)),""))</f>
        <v/>
      </c>
      <c r="F36" s="5">
        <f>IFERROR(INDEX('Batch Dates'!$G:$G,MATCH(J36,'Batch Dates'!$C:$C,0)),IFERROR(INDEX('Batch Dates'!$G:$G,MATCH(I36,'Batch Dates'!$B:$B,0)),""))</f>
        <v/>
      </c>
      <c r="G36" s="2" t="inlineStr">
        <is>
          <t>legacy</t>
        </is>
      </c>
      <c r="H36" s="2" t="inlineStr">
        <is>
          <t>initial release</t>
        </is>
      </c>
      <c r="I36" s="3" t="inlineStr">
        <is>
          <t>GP082501/1</t>
        </is>
      </c>
      <c r="J36" s="2" t="inlineStr">
        <is>
          <t>P050312</t>
        </is>
      </c>
      <c r="K36" s="2" t="inlineStr">
        <is>
          <t>Grape Pie</t>
        </is>
      </c>
      <c r="L36" s="2" t="inlineStr">
        <is>
          <t>Ident A + Ident B + Foreign matter</t>
        </is>
      </c>
      <c r="M36" s="6" t="inlineStr">
        <is>
          <t>—</t>
        </is>
      </c>
      <c r="N36" s="2">
        <f>IFERROR(INDEX('CoQ Register'!$B:$B,MATCH("P050312|I",'CoQ Register'!$S:$S,0)),"—")</f>
        <v/>
      </c>
      <c r="O36" s="2" t="inlineStr">
        <is>
          <t>iCoA-PP-2025-0021</t>
        </is>
      </c>
      <c r="P36" s="2" t="inlineStr">
        <is>
          <t>P050312|I</t>
        </is>
      </c>
      <c r="Q36" s="7" t="inlineStr">
        <is>
          <t>registered — issued with the legacy series on 15.05.2026</t>
        </is>
      </c>
    </row>
    <row r="37">
      <c r="A37" s="2">
        <f>IF(C37="yes",COUNT(A$1:A36)+1,"")</f>
        <v/>
      </c>
      <c r="B37" s="3">
        <f>IF(A37&lt;&gt;"","iCoA-PP_26-"&amp;TEXT(A37,"000"),IF(C37="n/a","not needed","— at issue —"))</f>
        <v/>
      </c>
      <c r="C37" s="4" t="inlineStr">
        <is>
          <t>yes</t>
        </is>
      </c>
      <c r="D37" s="5">
        <f>IF(A37="","",IF(G37="legacy",DATE(2026,5,15),IF(ISNUMBER(F37),(F37+5)+CHOOSE(WEEKDAY(F37+5,2),0,0,0,0,0,2,1),"")))</f>
        <v/>
      </c>
      <c r="E37" s="5">
        <f>IFERROR(INDEX('Batch Dates'!$F:$F,MATCH(J37,'Batch Dates'!$C:$C,0)),IFERROR(INDEX('Batch Dates'!$F:$F,MATCH(I37,'Batch Dates'!$B:$B,0)),""))</f>
        <v/>
      </c>
      <c r="F37" s="5">
        <f>IFERROR(INDEX('Batch Dates'!$G:$G,MATCH(J37,'Batch Dates'!$C:$C,0)),IFERROR(INDEX('Batch Dates'!$G:$G,MATCH(I37,'Batch Dates'!$B:$B,0)),""))</f>
        <v/>
      </c>
      <c r="G37" s="2" t="inlineStr">
        <is>
          <t>legacy</t>
        </is>
      </c>
      <c r="H37" s="2" t="inlineStr">
        <is>
          <t>initial release</t>
        </is>
      </c>
      <c r="I37" s="3" t="inlineStr">
        <is>
          <t>GP082501/2</t>
        </is>
      </c>
      <c r="J37" s="2" t="inlineStr">
        <is>
          <t>P050322</t>
        </is>
      </c>
      <c r="K37" s="2" t="inlineStr">
        <is>
          <t>Grape Pie</t>
        </is>
      </c>
      <c r="L37" s="2" t="inlineStr">
        <is>
          <t>Ident A + Ident B + Foreign matter</t>
        </is>
      </c>
      <c r="M37" s="6" t="inlineStr">
        <is>
          <t>—</t>
        </is>
      </c>
      <c r="N37" s="2">
        <f>IFERROR(INDEX('CoQ Register'!$B:$B,MATCH("P050322|I",'CoQ Register'!$S:$S,0)),"—")</f>
        <v/>
      </c>
      <c r="O37" s="2" t="inlineStr">
        <is>
          <t>iCoA-PP-2025-0022</t>
        </is>
      </c>
      <c r="P37" s="2" t="inlineStr">
        <is>
          <t>P050322|I</t>
        </is>
      </c>
      <c r="Q37" s="7" t="inlineStr">
        <is>
          <t>registered — issued with the legacy series on 15.05.2026</t>
        </is>
      </c>
    </row>
    <row r="38">
      <c r="A38" s="2">
        <f>IF(C38="yes",COUNT(A$1:A37)+1,"")</f>
        <v/>
      </c>
      <c r="B38" s="3">
        <f>IF(A38&lt;&gt;"","iCoA-PP_26-"&amp;TEXT(A38,"000"),IF(C38="n/a","not needed","— at issue —"))</f>
        <v/>
      </c>
      <c r="C38" s="4" t="inlineStr">
        <is>
          <t>yes</t>
        </is>
      </c>
      <c r="D38" s="5">
        <f>IF(A38="","",IF(G38="legacy",DATE(2026,5,15),IF(ISNUMBER(F38),(F38+5)+CHOOSE(WEEKDAY(F38+5,2),0,0,0,0,0,2,1),"")))</f>
        <v/>
      </c>
      <c r="E38" s="5">
        <f>IFERROR(INDEX('Batch Dates'!$F:$F,MATCH(J38,'Batch Dates'!$C:$C,0)),IFERROR(INDEX('Batch Dates'!$F:$F,MATCH(I38,'Batch Dates'!$B:$B,0)),""))</f>
        <v/>
      </c>
      <c r="F38" s="5">
        <f>IFERROR(INDEX('Batch Dates'!$G:$G,MATCH(J38,'Batch Dates'!$C:$C,0)),IFERROR(INDEX('Batch Dates'!$G:$G,MATCH(I38,'Batch Dates'!$B:$B,0)),""))</f>
        <v/>
      </c>
      <c r="G38" s="2" t="inlineStr">
        <is>
          <t>legacy</t>
        </is>
      </c>
      <c r="H38" s="2" t="inlineStr">
        <is>
          <t>initial release</t>
        </is>
      </c>
      <c r="I38" s="3" t="inlineStr">
        <is>
          <t>WC082501</t>
        </is>
      </c>
      <c r="J38" s="2" t="inlineStr">
        <is>
          <t>P060012</t>
        </is>
      </c>
      <c r="K38" s="2" t="inlineStr">
        <is>
          <t>Wedding Crasher</t>
        </is>
      </c>
      <c r="L38" s="2" t="inlineStr">
        <is>
          <t>Ident A + Ident B + Foreign matter</t>
        </is>
      </c>
      <c r="M38" s="6" t="inlineStr">
        <is>
          <t>—</t>
        </is>
      </c>
      <c r="N38" s="2">
        <f>IFERROR(INDEX('CoQ Register'!$B:$B,MATCH("P060012|I",'CoQ Register'!$S:$S,0)),"—")</f>
        <v/>
      </c>
      <c r="O38" s="2" t="inlineStr">
        <is>
          <t>iCoA-PP-2026-0001</t>
        </is>
      </c>
      <c r="P38" s="2" t="inlineStr">
        <is>
          <t>P060012|I</t>
        </is>
      </c>
      <c r="Q38" s="7" t="inlineStr">
        <is>
          <t>registered — issued with the legacy series on 15.05.2026</t>
        </is>
      </c>
    </row>
    <row r="39">
      <c r="A39" s="2">
        <f>IF(C39="yes",COUNT(A$1:A38)+1,"")</f>
        <v/>
      </c>
      <c r="B39" s="3">
        <f>IF(A39&lt;&gt;"","iCoA-PP_26-"&amp;TEXT(A39,"000"),IF(C39="n/a","not needed","— at issue —"))</f>
        <v/>
      </c>
      <c r="C39" s="4" t="inlineStr">
        <is>
          <t>yes</t>
        </is>
      </c>
      <c r="D39" s="5">
        <f>IF(A39="","",IF(G39="legacy",DATE(2026,5,15),IF(ISNUMBER(F39),(F39+5)+CHOOSE(WEEKDAY(F39+5,2),0,0,0,0,0,2,1),"")))</f>
        <v/>
      </c>
      <c r="E39" s="5">
        <f>IFERROR(INDEX('Batch Dates'!$F:$F,MATCH(J39,'Batch Dates'!$C:$C,0)),IFERROR(INDEX('Batch Dates'!$F:$F,MATCH(I39,'Batch Dates'!$B:$B,0)),""))</f>
        <v/>
      </c>
      <c r="F39" s="5">
        <f>IFERROR(INDEX('Batch Dates'!$G:$G,MATCH(J39,'Batch Dates'!$C:$C,0)),IFERROR(INDEX('Batch Dates'!$G:$G,MATCH(I39,'Batch Dates'!$B:$B,0)),""))</f>
        <v/>
      </c>
      <c r="G39" s="2" t="inlineStr">
        <is>
          <t>legacy</t>
        </is>
      </c>
      <c r="H39" s="2" t="inlineStr">
        <is>
          <t>initial release</t>
        </is>
      </c>
      <c r="I39" s="3" t="inlineStr">
        <is>
          <t>CJ082501/1</t>
        </is>
      </c>
      <c r="J39" s="2" t="inlineStr">
        <is>
          <t>P060022</t>
        </is>
      </c>
      <c r="K39" s="2" t="inlineStr">
        <is>
          <t>Cap Junky</t>
        </is>
      </c>
      <c r="L39" s="2" t="inlineStr">
        <is>
          <t>Ident A + Ident B + Foreign matter</t>
        </is>
      </c>
      <c r="M39" s="6" t="inlineStr">
        <is>
          <t>—</t>
        </is>
      </c>
      <c r="N39" s="2">
        <f>IFERROR(INDEX('CoQ Register'!$B:$B,MATCH("P060022|I",'CoQ Register'!$S:$S,0)),"—")</f>
        <v/>
      </c>
      <c r="O39" s="2" t="inlineStr">
        <is>
          <t>iCoA-PP-2026-0002</t>
        </is>
      </c>
      <c r="P39" s="2" t="inlineStr">
        <is>
          <t>P060022|I</t>
        </is>
      </c>
      <c r="Q39" s="7" t="inlineStr">
        <is>
          <t>registered — issued with the legacy series on 15.05.2026</t>
        </is>
      </c>
    </row>
    <row r="40">
      <c r="A40" s="2">
        <f>IF(C40="yes",COUNT(A$1:A39)+1,"")</f>
        <v/>
      </c>
      <c r="B40" s="3">
        <f>IF(A40&lt;&gt;"","iCoA-PP_26-"&amp;TEXT(A40,"000"),IF(C40="n/a","not needed","— at issue —"))</f>
        <v/>
      </c>
      <c r="C40" s="4" t="inlineStr">
        <is>
          <t>yes</t>
        </is>
      </c>
      <c r="D40" s="5">
        <f>IF(A40="","",IF(G40="legacy",DATE(2026,5,15),IF(ISNUMBER(F40),(F40+5)+CHOOSE(WEEKDAY(F40+5,2),0,0,0,0,0,2,1),"")))</f>
        <v/>
      </c>
      <c r="E40" s="5">
        <f>IFERROR(INDEX('Batch Dates'!$F:$F,MATCH(J40,'Batch Dates'!$C:$C,0)),IFERROR(INDEX('Batch Dates'!$F:$F,MATCH(I40,'Batch Dates'!$B:$B,0)),""))</f>
        <v/>
      </c>
      <c r="F40" s="5">
        <f>IFERROR(INDEX('Batch Dates'!$G:$G,MATCH(J40,'Batch Dates'!$C:$C,0)),IFERROR(INDEX('Batch Dates'!$G:$G,MATCH(I40,'Batch Dates'!$B:$B,0)),""))</f>
        <v/>
      </c>
      <c r="G40" s="2" t="inlineStr">
        <is>
          <t>legacy</t>
        </is>
      </c>
      <c r="H40" s="2" t="inlineStr">
        <is>
          <t>initial release</t>
        </is>
      </c>
      <c r="I40" s="3" t="inlineStr">
        <is>
          <t>CJ082501/2</t>
        </is>
      </c>
      <c r="J40" s="2" t="inlineStr">
        <is>
          <t>P060032</t>
        </is>
      </c>
      <c r="K40" s="2" t="inlineStr">
        <is>
          <t>Cap Junky</t>
        </is>
      </c>
      <c r="L40" s="2" t="inlineStr">
        <is>
          <t>Ident A + Ident B + Foreign matter</t>
        </is>
      </c>
      <c r="M40" s="6" t="inlineStr">
        <is>
          <t>—</t>
        </is>
      </c>
      <c r="N40" s="2">
        <f>IFERROR(INDEX('CoQ Register'!$B:$B,MATCH("P060032|I",'CoQ Register'!$S:$S,0)),"—")</f>
        <v/>
      </c>
      <c r="O40" s="2" t="inlineStr">
        <is>
          <t>iCoA-PP-2026-0003</t>
        </is>
      </c>
      <c r="P40" s="2" t="inlineStr">
        <is>
          <t>P060032|I</t>
        </is>
      </c>
      <c r="Q40" s="7" t="inlineStr">
        <is>
          <t>registered — issued with the legacy series on 15.05.2026</t>
        </is>
      </c>
    </row>
    <row r="41">
      <c r="A41" s="2">
        <f>IF(C41="yes",COUNT(A$1:A40)+1,"")</f>
        <v/>
      </c>
      <c r="B41" s="3">
        <f>IF(A41&lt;&gt;"","iCoA-PP_26-"&amp;TEXT(A41,"000"),IF(C41="n/a","not needed","— at issue —"))</f>
        <v/>
      </c>
      <c r="C41" s="4" t="inlineStr">
        <is>
          <t>yes</t>
        </is>
      </c>
      <c r="D41" s="5">
        <f>IF(A41="","",IF(G41="legacy",DATE(2026,5,15),IF(ISNUMBER(F41),(F41+5)+CHOOSE(WEEKDAY(F41+5,2),0,0,0,0,0,2,1),"")))</f>
        <v/>
      </c>
      <c r="E41" s="5">
        <f>IFERROR(INDEX('Batch Dates'!$F:$F,MATCH(J41,'Batch Dates'!$C:$C,0)),IFERROR(INDEX('Batch Dates'!$F:$F,MATCH(I41,'Batch Dates'!$B:$B,0)),""))</f>
        <v/>
      </c>
      <c r="F41" s="5">
        <f>IFERROR(INDEX('Batch Dates'!$G:$G,MATCH(J41,'Batch Dates'!$C:$C,0)),IFERROR(INDEX('Batch Dates'!$G:$G,MATCH(I41,'Batch Dates'!$B:$B,0)),""))</f>
        <v/>
      </c>
      <c r="G41" s="2" t="inlineStr">
        <is>
          <t>legacy</t>
        </is>
      </c>
      <c r="H41" s="2" t="inlineStr">
        <is>
          <t>initial release</t>
        </is>
      </c>
      <c r="I41" s="3" t="inlineStr">
        <is>
          <t>OPM092501</t>
        </is>
      </c>
      <c r="J41" s="2" t="inlineStr">
        <is>
          <t>P060042</t>
        </is>
      </c>
      <c r="K41" s="2" t="inlineStr">
        <is>
          <t>Orange Punch Mimosa</t>
        </is>
      </c>
      <c r="L41" s="2" t="inlineStr">
        <is>
          <t>Ident A + Ident B + Foreign matter</t>
        </is>
      </c>
      <c r="M41" s="6" t="inlineStr">
        <is>
          <t>—</t>
        </is>
      </c>
      <c r="N41" s="2">
        <f>IFERROR(INDEX('CoQ Register'!$B:$B,MATCH("P060042|I",'CoQ Register'!$S:$S,0)),"—")</f>
        <v/>
      </c>
      <c r="O41" s="2" t="inlineStr">
        <is>
          <t>iCoA-PP-2026-0004</t>
        </is>
      </c>
      <c r="P41" s="2" t="inlineStr">
        <is>
          <t>P060042|I</t>
        </is>
      </c>
      <c r="Q41" s="7" t="inlineStr">
        <is>
          <t>registered — issued with the legacy series on 15.05.2026</t>
        </is>
      </c>
    </row>
    <row r="42">
      <c r="A42" s="2">
        <f>IF(C42="yes",COUNT(A$1:A41)+1,"")</f>
        <v/>
      </c>
      <c r="B42" s="3">
        <f>IF(A42&lt;&gt;"","iCoA-PP_26-"&amp;TEXT(A42,"000"),IF(C42="n/a","not needed","— at issue —"))</f>
        <v/>
      </c>
      <c r="C42" s="4" t="inlineStr">
        <is>
          <t>yes</t>
        </is>
      </c>
      <c r="D42" s="5">
        <f>IF(A42="","",IF(G42="legacy",DATE(2026,5,15),IF(ISNUMBER(F42),(F42+5)+CHOOSE(WEEKDAY(F42+5,2),0,0,0,0,0,2,1),"")))</f>
        <v/>
      </c>
      <c r="E42" s="5">
        <f>IFERROR(INDEX('Batch Dates'!$F:$F,MATCH(J42,'Batch Dates'!$C:$C,0)),IFERROR(INDEX('Batch Dates'!$F:$F,MATCH(I42,'Batch Dates'!$B:$B,0)),""))</f>
        <v/>
      </c>
      <c r="F42" s="5">
        <f>IFERROR(INDEX('Batch Dates'!$G:$G,MATCH(J42,'Batch Dates'!$C:$C,0)),IFERROR(INDEX('Batch Dates'!$G:$G,MATCH(I42,'Batch Dates'!$B:$B,0)),""))</f>
        <v/>
      </c>
      <c r="G42" s="2" t="inlineStr">
        <is>
          <t>legacy</t>
        </is>
      </c>
      <c r="H42" s="2" t="inlineStr">
        <is>
          <t>initial release</t>
        </is>
      </c>
      <c r="I42" s="3" t="inlineStr">
        <is>
          <t>AB092501</t>
        </is>
      </c>
      <c r="J42" s="2" t="inlineStr">
        <is>
          <t>P060052</t>
        </is>
      </c>
      <c r="K42" s="2" t="inlineStr">
        <is>
          <t>Apple and Banana</t>
        </is>
      </c>
      <c r="L42" s="2" t="inlineStr">
        <is>
          <t>Ident A + Ident B + Foreign matter</t>
        </is>
      </c>
      <c r="M42" s="6" t="inlineStr">
        <is>
          <t>—</t>
        </is>
      </c>
      <c r="N42" s="2">
        <f>IFERROR(INDEX('CoQ Register'!$B:$B,MATCH("P060052|I",'CoQ Register'!$S:$S,0)),"—")</f>
        <v/>
      </c>
      <c r="O42" s="6" t="inlineStr">
        <is>
          <t>—</t>
        </is>
      </c>
      <c r="P42" s="2" t="inlineStr">
        <is>
          <t>P060052|I</t>
        </is>
      </c>
      <c r="Q42" s="7" t="inlineStr">
        <is>
          <t>registered — issued with the legacy series on 15.05.2026</t>
        </is>
      </c>
    </row>
    <row r="43">
      <c r="A43" s="2">
        <f>IF(C43="yes",COUNT(A$1:A42)+1,"")</f>
        <v/>
      </c>
      <c r="B43" s="3">
        <f>IF(A43&lt;&gt;"","iCoA-PP_26-"&amp;TEXT(A43,"000"),IF(C43="n/a","not needed","— at issue —"))</f>
        <v/>
      </c>
      <c r="C43" s="4" t="inlineStr">
        <is>
          <t>yes</t>
        </is>
      </c>
      <c r="D43" s="5">
        <f>IF(A43="","",IF(G43="legacy",DATE(2026,5,15),IF(ISNUMBER(F43),(F43+5)+CHOOSE(WEEKDAY(F43+5,2),0,0,0,0,0,2,1),"")))</f>
        <v/>
      </c>
      <c r="E43" s="5">
        <f>IFERROR(INDEX('Batch Dates'!$F:$F,MATCH(J43,'Batch Dates'!$C:$C,0)),IFERROR(INDEX('Batch Dates'!$F:$F,MATCH(I43,'Batch Dates'!$B:$B,0)),""))</f>
        <v/>
      </c>
      <c r="F43" s="5">
        <f>IFERROR(INDEX('Batch Dates'!$G:$G,MATCH(J43,'Batch Dates'!$C:$C,0)),IFERROR(INDEX('Batch Dates'!$G:$G,MATCH(I43,'Batch Dates'!$B:$B,0)),""))</f>
        <v/>
      </c>
      <c r="G43" s="2" t="inlineStr">
        <is>
          <t>legacy</t>
        </is>
      </c>
      <c r="H43" s="2" t="inlineStr">
        <is>
          <t>initial release</t>
        </is>
      </c>
      <c r="I43" s="3" t="inlineStr">
        <is>
          <t>PM092501</t>
        </is>
      </c>
      <c r="J43" s="2" t="inlineStr">
        <is>
          <t>P060062</t>
        </is>
      </c>
      <c r="K43" s="2" t="inlineStr">
        <is>
          <t>Permanent Market</t>
        </is>
      </c>
      <c r="L43" s="2" t="inlineStr">
        <is>
          <t>Ident A + Ident B + Foreign matter</t>
        </is>
      </c>
      <c r="M43" s="6" t="inlineStr">
        <is>
          <t>—</t>
        </is>
      </c>
      <c r="N43" s="2">
        <f>IFERROR(INDEX('CoQ Register'!$B:$B,MATCH("P060062|I",'CoQ Register'!$S:$S,0)),"—")</f>
        <v/>
      </c>
      <c r="O43" s="2" t="inlineStr">
        <is>
          <t>iCoA-PP-2026-0005</t>
        </is>
      </c>
      <c r="P43" s="2" t="inlineStr">
        <is>
          <t>P060062|I</t>
        </is>
      </c>
      <c r="Q43" s="7" t="inlineStr">
        <is>
          <t>registered — issued with the legacy series on 15.05.2026</t>
        </is>
      </c>
    </row>
    <row r="44">
      <c r="A44" s="2">
        <f>IF(C44="yes",COUNT(A$1:A43)+1,"")</f>
        <v/>
      </c>
      <c r="B44" s="3">
        <f>IF(A44&lt;&gt;"","iCoA-PP_26-"&amp;TEXT(A44,"000"),IF(C44="n/a","not needed","— at issue —"))</f>
        <v/>
      </c>
      <c r="C44" s="4" t="inlineStr">
        <is>
          <t>yes</t>
        </is>
      </c>
      <c r="D44" s="5">
        <f>IF(A44="","",IF(G44="legacy",DATE(2026,5,15),IF(ISNUMBER(F44),(F44+5)+CHOOSE(WEEKDAY(F44+5,2),0,0,0,0,0,2,1),"")))</f>
        <v/>
      </c>
      <c r="E44" s="5">
        <f>IFERROR(INDEX('Batch Dates'!$F:$F,MATCH(J44,'Batch Dates'!$C:$C,0)),IFERROR(INDEX('Batch Dates'!$F:$F,MATCH(I44,'Batch Dates'!$B:$B,0)),""))</f>
        <v/>
      </c>
      <c r="F44" s="5">
        <f>IFERROR(INDEX('Batch Dates'!$G:$G,MATCH(J44,'Batch Dates'!$C:$C,0)),IFERROR(INDEX('Batch Dates'!$G:$G,MATCH(I44,'Batch Dates'!$B:$B,0)),""))</f>
        <v/>
      </c>
      <c r="G44" s="2" t="inlineStr">
        <is>
          <t>legacy</t>
        </is>
      </c>
      <c r="H44" s="2" t="inlineStr">
        <is>
          <t>initial release</t>
        </is>
      </c>
      <c r="I44" s="3" t="inlineStr">
        <is>
          <t>CJ092501</t>
        </is>
      </c>
      <c r="J44" s="2" t="inlineStr">
        <is>
          <t>P060072</t>
        </is>
      </c>
      <c r="K44" s="2" t="inlineStr">
        <is>
          <t>Cap Junky</t>
        </is>
      </c>
      <c r="L44" s="2" t="inlineStr">
        <is>
          <t>Ident A + Ident B + Foreign matter</t>
        </is>
      </c>
      <c r="M44" s="6" t="inlineStr">
        <is>
          <t>—</t>
        </is>
      </c>
      <c r="N44" s="2">
        <f>IFERROR(INDEX('CoQ Register'!$B:$B,MATCH("P060072|I",'CoQ Register'!$S:$S,0)),"—")</f>
        <v/>
      </c>
      <c r="O44" s="2" t="inlineStr">
        <is>
          <t>iCoA-PP-2026-0006</t>
        </is>
      </c>
      <c r="P44" s="2" t="inlineStr">
        <is>
          <t>P060072|I</t>
        </is>
      </c>
      <c r="Q44" s="7" t="inlineStr">
        <is>
          <t>registered — issued with the legacy series on 15.05.2026</t>
        </is>
      </c>
    </row>
    <row r="45">
      <c r="A45" s="2">
        <f>IF(C45="yes",COUNT(A$1:A44)+1,"")</f>
        <v/>
      </c>
      <c r="B45" s="3">
        <f>IF(A45&lt;&gt;"","iCoA-PP_26-"&amp;TEXT(A45,"000"),IF(C45="n/a","not needed","— at issue —"))</f>
        <v/>
      </c>
      <c r="C45" s="4" t="inlineStr">
        <is>
          <t>yes</t>
        </is>
      </c>
      <c r="D45" s="5">
        <f>IF(A45="","",IF(G45="legacy",DATE(2026,5,15),IF(ISNUMBER(F45),(F45+5)+CHOOSE(WEEKDAY(F45+5,2),0,0,0,0,0,2,1),"")))</f>
        <v/>
      </c>
      <c r="E45" s="5">
        <f>IFERROR(INDEX('Batch Dates'!$F:$F,MATCH(J45,'Batch Dates'!$C:$C,0)),IFERROR(INDEX('Batch Dates'!$F:$F,MATCH(I45,'Batch Dates'!$B:$B,0)),""))</f>
        <v/>
      </c>
      <c r="F45" s="5">
        <f>IFERROR(INDEX('Batch Dates'!$G:$G,MATCH(J45,'Batch Dates'!$C:$C,0)),IFERROR(INDEX('Batch Dates'!$G:$G,MATCH(I45,'Batch Dates'!$B:$B,0)),""))</f>
        <v/>
      </c>
      <c r="G45" s="2" t="inlineStr">
        <is>
          <t>legacy</t>
        </is>
      </c>
      <c r="H45" s="2" t="inlineStr">
        <is>
          <t>initial release</t>
        </is>
      </c>
      <c r="I45" s="3" t="inlineStr">
        <is>
          <t>SJ0925021</t>
        </is>
      </c>
      <c r="J45" s="2" t="inlineStr">
        <is>
          <t>P060082</t>
        </is>
      </c>
      <c r="K45" s="2" t="inlineStr"/>
      <c r="L45" s="2" t="inlineStr">
        <is>
          <t>Ident A + Ident B + Foreign matter</t>
        </is>
      </c>
      <c r="M45" s="6" t="inlineStr">
        <is>
          <t>—</t>
        </is>
      </c>
      <c r="N45" s="2">
        <f>IFERROR(INDEX('CoQ Register'!$B:$B,MATCH("P060082|I",'CoQ Register'!$S:$S,0)),"—")</f>
        <v/>
      </c>
      <c r="O45" s="2" t="inlineStr">
        <is>
          <t>iCoA-PP-2026-0007</t>
        </is>
      </c>
      <c r="P45" s="2" t="inlineStr">
        <is>
          <t>P060082|I</t>
        </is>
      </c>
      <c r="Q45" s="7" t="inlineStr">
        <is>
          <t>registered — issued with the legacy series on 15.05.2026</t>
        </is>
      </c>
    </row>
    <row r="46">
      <c r="A46" s="2">
        <f>IF(C46="yes",COUNT(A$1:A45)+1,"")</f>
        <v/>
      </c>
      <c r="B46" s="3">
        <f>IF(A46&lt;&gt;"","iCoA-PP_26-"&amp;TEXT(A46,"000"),IF(C46="n/a","not needed","— at issue —"))</f>
        <v/>
      </c>
      <c r="C46" s="4" t="inlineStr">
        <is>
          <t>yes</t>
        </is>
      </c>
      <c r="D46" s="5">
        <f>IF(A46="","",IF(G46="legacy",DATE(2026,5,15),IF(ISNUMBER(F46),(F46+5)+CHOOSE(WEEKDAY(F46+5,2),0,0,0,0,0,2,1),"")))</f>
        <v/>
      </c>
      <c r="E46" s="5">
        <f>IFERROR(INDEX('Batch Dates'!$F:$F,MATCH(J46,'Batch Dates'!$C:$C,0)),IFERROR(INDEX('Batch Dates'!$F:$F,MATCH(I46,'Batch Dates'!$B:$B,0)),""))</f>
        <v/>
      </c>
      <c r="F46" s="5">
        <f>IFERROR(INDEX('Batch Dates'!$G:$G,MATCH(J46,'Batch Dates'!$C:$C,0)),IFERROR(INDEX('Batch Dates'!$G:$G,MATCH(I46,'Batch Dates'!$B:$B,0)),""))</f>
        <v/>
      </c>
      <c r="G46" s="2" t="inlineStr">
        <is>
          <t>legacy</t>
        </is>
      </c>
      <c r="H46" s="2" t="inlineStr">
        <is>
          <t>initial release</t>
        </is>
      </c>
      <c r="I46" s="3" t="inlineStr">
        <is>
          <t>GP092501</t>
        </is>
      </c>
      <c r="J46" s="2" t="inlineStr">
        <is>
          <t>P060092</t>
        </is>
      </c>
      <c r="K46" s="2" t="inlineStr">
        <is>
          <t>Grape Pie</t>
        </is>
      </c>
      <c r="L46" s="2" t="inlineStr">
        <is>
          <t>Ident A + Ident B + Foreign matter</t>
        </is>
      </c>
      <c r="M46" s="6" t="inlineStr">
        <is>
          <t>—</t>
        </is>
      </c>
      <c r="N46" s="2">
        <f>IFERROR(INDEX('CoQ Register'!$B:$B,MATCH("P060092|I",'CoQ Register'!$S:$S,0)),"—")</f>
        <v/>
      </c>
      <c r="O46" s="2" t="inlineStr">
        <is>
          <t>iCoA-PP-2026-0008</t>
        </is>
      </c>
      <c r="P46" s="2" t="inlineStr">
        <is>
          <t>P060092|I</t>
        </is>
      </c>
      <c r="Q46" s="7" t="inlineStr">
        <is>
          <t>registered — issued with the legacy series on 15.05.2026</t>
        </is>
      </c>
    </row>
    <row r="47">
      <c r="A47" s="2">
        <f>IF(C47="yes",COUNT(A$1:A46)+1,"")</f>
        <v/>
      </c>
      <c r="B47" s="3">
        <f>IF(A47&lt;&gt;"","iCoA-PP_26-"&amp;TEXT(A47,"000"),IF(C47="n/a","not needed","— at issue —"))</f>
        <v/>
      </c>
      <c r="C47" s="4" t="inlineStr">
        <is>
          <t>yes</t>
        </is>
      </c>
      <c r="D47" s="5">
        <f>IF(A47="","",IF(G47="legacy",DATE(2026,5,15),IF(ISNUMBER(F47),(F47+5)+CHOOSE(WEEKDAY(F47+5,2),0,0,0,0,0,2,1),"")))</f>
        <v/>
      </c>
      <c r="E47" s="5">
        <f>IFERROR(INDEX('Batch Dates'!$F:$F,MATCH(J47,'Batch Dates'!$C:$C,0)),IFERROR(INDEX('Batch Dates'!$F:$F,MATCH(I47,'Batch Dates'!$B:$B,0)),""))</f>
        <v/>
      </c>
      <c r="F47" s="5">
        <f>IFERROR(INDEX('Batch Dates'!$G:$G,MATCH(J47,'Batch Dates'!$C:$C,0)),IFERROR(INDEX('Batch Dates'!$G:$G,MATCH(I47,'Batch Dates'!$B:$B,0)),""))</f>
        <v/>
      </c>
      <c r="G47" s="2" t="inlineStr">
        <is>
          <t>legacy</t>
        </is>
      </c>
      <c r="H47" s="2" t="inlineStr">
        <is>
          <t>initial release</t>
        </is>
      </c>
      <c r="I47" s="3" t="inlineStr">
        <is>
          <t>WED102501 (from the list)</t>
        </is>
      </c>
      <c r="J47" s="2" t="inlineStr">
        <is>
          <t>P060102</t>
        </is>
      </c>
      <c r="K47" s="2" t="inlineStr">
        <is>
          <t>Wedding Cake</t>
        </is>
      </c>
      <c r="L47" s="2" t="inlineStr">
        <is>
          <t>Ident A + Ident B + Foreign matter</t>
        </is>
      </c>
      <c r="M47" s="6" t="inlineStr">
        <is>
          <t>—</t>
        </is>
      </c>
      <c r="N47" s="2">
        <f>IFERROR(INDEX('CoQ Register'!$B:$B,MATCH("P060102|I",'CoQ Register'!$S:$S,0)),"—")</f>
        <v/>
      </c>
      <c r="O47" s="6" t="inlineStr">
        <is>
          <t>—</t>
        </is>
      </c>
      <c r="P47" s="2" t="inlineStr">
        <is>
          <t>P060102|I</t>
        </is>
      </c>
      <c r="Q47" s="7" t="inlineStr">
        <is>
          <t>registered — issued with the legacy series on 15.05.2026</t>
        </is>
      </c>
    </row>
    <row r="48">
      <c r="A48" s="2">
        <f>IF(C48="yes",COUNT(A$1:A47)+1,"")</f>
        <v/>
      </c>
      <c r="B48" s="3">
        <f>IF(A48&lt;&gt;"","iCoA-PP_26-"&amp;TEXT(A48,"000"),IF(C48="n/a","not needed","— at issue —"))</f>
        <v/>
      </c>
      <c r="C48" s="4" t="inlineStr">
        <is>
          <t>yes</t>
        </is>
      </c>
      <c r="D48" s="5">
        <f>IF(A48="","",IF(G48="legacy",DATE(2026,5,15),IF(ISNUMBER(F48),(F48+5)+CHOOSE(WEEKDAY(F48+5,2),0,0,0,0,0,2,1),"")))</f>
        <v/>
      </c>
      <c r="E48" s="5">
        <f>IFERROR(INDEX('Batch Dates'!$F:$F,MATCH(J48,'Batch Dates'!$C:$C,0)),IFERROR(INDEX('Batch Dates'!$F:$F,MATCH(I48,'Batch Dates'!$B:$B,0)),""))</f>
        <v/>
      </c>
      <c r="F48" s="5">
        <f>IFERROR(INDEX('Batch Dates'!$G:$G,MATCH(J48,'Batch Dates'!$C:$C,0)),IFERROR(INDEX('Batch Dates'!$G:$G,MATCH(I48,'Batch Dates'!$B:$B,0)),""))</f>
        <v/>
      </c>
      <c r="G48" s="2" t="inlineStr">
        <is>
          <t>legacy</t>
        </is>
      </c>
      <c r="H48" s="2" t="inlineStr">
        <is>
          <t>initial release</t>
        </is>
      </c>
      <c r="I48" s="3" t="inlineStr">
        <is>
          <t>GRC102501</t>
        </is>
      </c>
      <c r="J48" s="2" t="inlineStr">
        <is>
          <t>P060142</t>
        </is>
      </c>
      <c r="K48" s="2" t="inlineStr">
        <is>
          <t>Graps &amp; Creme</t>
        </is>
      </c>
      <c r="L48" s="2" t="inlineStr">
        <is>
          <t>Ident A + Ident B + Foreign matter</t>
        </is>
      </c>
      <c r="M48" s="6" t="inlineStr">
        <is>
          <t>—</t>
        </is>
      </c>
      <c r="N48" s="2">
        <f>IFERROR(INDEX('CoQ Register'!$B:$B,MATCH("P060142|I",'CoQ Register'!$S:$S,0)),"—")</f>
        <v/>
      </c>
      <c r="O48" s="6" t="inlineStr">
        <is>
          <t>—</t>
        </is>
      </c>
      <c r="P48" s="2" t="inlineStr">
        <is>
          <t>P060142|I</t>
        </is>
      </c>
      <c r="Q48" s="7" t="inlineStr">
        <is>
          <t>registered — issued with the legacy series on 15.05.2026</t>
        </is>
      </c>
    </row>
    <row r="49">
      <c r="A49" s="2">
        <f>IF(C49="yes",COUNT(A$1:A48)+1,"")</f>
        <v/>
      </c>
      <c r="B49" s="3">
        <f>IF(A49&lt;&gt;"","iCoA-PP_26-"&amp;TEXT(A49,"000"),IF(C49="n/a","not needed","— at issue —"))</f>
        <v/>
      </c>
      <c r="C49" s="4" t="inlineStr">
        <is>
          <t>yes</t>
        </is>
      </c>
      <c r="D49" s="5">
        <f>IF(A49="","",IF(G49="legacy",DATE(2026,5,15),IF(ISNUMBER(F49),(F49+5)+CHOOSE(WEEKDAY(F49+5,2),0,0,0,0,0,2,1),"")))</f>
        <v/>
      </c>
      <c r="E49" s="5">
        <f>IFERROR(INDEX('Batch Dates'!$F:$F,MATCH(J49,'Batch Dates'!$C:$C,0)),IFERROR(INDEX('Batch Dates'!$F:$F,MATCH(I49,'Batch Dates'!$B:$B,0)),""))</f>
        <v/>
      </c>
      <c r="F49" s="5">
        <f>IFERROR(INDEX('Batch Dates'!$G:$G,MATCH(J49,'Batch Dates'!$C:$C,0)),IFERROR(INDEX('Batch Dates'!$G:$G,MATCH(I49,'Batch Dates'!$B:$B,0)),""))</f>
        <v/>
      </c>
      <c r="G49" s="2" t="inlineStr">
        <is>
          <t>legacy</t>
        </is>
      </c>
      <c r="H49" s="2" t="inlineStr">
        <is>
          <t>initial release</t>
        </is>
      </c>
      <c r="I49" s="3" t="inlineStr">
        <is>
          <t>J31102501</t>
        </is>
      </c>
      <c r="J49" s="2" t="inlineStr">
        <is>
          <t>P060152</t>
        </is>
      </c>
      <c r="K49" s="2" t="inlineStr">
        <is>
          <t>Jokerz 31</t>
        </is>
      </c>
      <c r="L49" s="2" t="inlineStr">
        <is>
          <t>Ident A + Ident B + Foreign matter</t>
        </is>
      </c>
      <c r="M49" s="6" t="inlineStr">
        <is>
          <t>—</t>
        </is>
      </c>
      <c r="N49" s="2">
        <f>IFERROR(INDEX('CoQ Register'!$B:$B,MATCH("P060152|I",'CoQ Register'!$S:$S,0)),"—")</f>
        <v/>
      </c>
      <c r="O49" s="2" t="inlineStr">
        <is>
          <t>iCoA-PP-2026-0012</t>
        </is>
      </c>
      <c r="P49" s="2" t="inlineStr">
        <is>
          <t>P060152|I</t>
        </is>
      </c>
      <c r="Q49" s="7" t="inlineStr">
        <is>
          <t>registered — issued with the legacy series on 15.05.2026</t>
        </is>
      </c>
    </row>
    <row r="50">
      <c r="A50" s="2">
        <f>IF(C50="yes",COUNT(A$1:A49)+1,"")</f>
        <v/>
      </c>
      <c r="B50" s="3">
        <f>IF(A50&lt;&gt;"","iCoA-PP_26-"&amp;TEXT(A50,"000"),IF(C50="n/a","not needed","— at issue —"))</f>
        <v/>
      </c>
      <c r="C50" s="4" t="inlineStr">
        <is>
          <t>yes</t>
        </is>
      </c>
      <c r="D50" s="5">
        <f>IF(A50="","",IF(G50="legacy",DATE(2026,5,15),IF(ISNUMBER(F50),(F50+5)+CHOOSE(WEEKDAY(F50+5,2),0,0,0,0,0,2,1),"")))</f>
        <v/>
      </c>
      <c r="E50" s="5">
        <f>IFERROR(INDEX('Batch Dates'!$F:$F,MATCH(J50,'Batch Dates'!$C:$C,0)),IFERROR(INDEX('Batch Dates'!$F:$F,MATCH(I50,'Batch Dates'!$B:$B,0)),""))</f>
        <v/>
      </c>
      <c r="F50" s="5">
        <f>IFERROR(INDEX('Batch Dates'!$G:$G,MATCH(J50,'Batch Dates'!$C:$C,0)),IFERROR(INDEX('Batch Dates'!$G:$G,MATCH(I50,'Batch Dates'!$B:$B,0)),""))</f>
        <v/>
      </c>
      <c r="G50" s="2" t="inlineStr">
        <is>
          <t>legacy</t>
        </is>
      </c>
      <c r="H50" s="2" t="inlineStr">
        <is>
          <t>initial release</t>
        </is>
      </c>
      <c r="I50" s="3" t="inlineStr">
        <is>
          <t>SJ102501</t>
        </is>
      </c>
      <c r="J50" s="2" t="inlineStr">
        <is>
          <t>P060162</t>
        </is>
      </c>
      <c r="K50" s="2" t="inlineStr">
        <is>
          <t>Sleepy Joe</t>
        </is>
      </c>
      <c r="L50" s="2" t="inlineStr">
        <is>
          <t>Ident A + Ident B + Foreign matter</t>
        </is>
      </c>
      <c r="M50" s="6" t="inlineStr">
        <is>
          <t>—</t>
        </is>
      </c>
      <c r="N50" s="2">
        <f>IFERROR(INDEX('CoQ Register'!$B:$B,MATCH("P060162|I",'CoQ Register'!$S:$S,0)),"—")</f>
        <v/>
      </c>
      <c r="O50" s="6" t="inlineStr">
        <is>
          <t>—</t>
        </is>
      </c>
      <c r="P50" s="2" t="inlineStr">
        <is>
          <t>P060162|I</t>
        </is>
      </c>
      <c r="Q50" s="7" t="inlineStr">
        <is>
          <t>registered — issued with the legacy series on 15.05.2026</t>
        </is>
      </c>
    </row>
    <row r="51">
      <c r="A51" s="2">
        <f>IF(C51="yes",COUNT(A$1:A50)+1,"")</f>
        <v/>
      </c>
      <c r="B51" s="3">
        <f>IF(A51&lt;&gt;"","iCoA-PP_26-"&amp;TEXT(A51,"000"),IF(C51="n/a","not needed","— at issue —"))</f>
        <v/>
      </c>
      <c r="C51" s="4" t="inlineStr">
        <is>
          <t>yes</t>
        </is>
      </c>
      <c r="D51" s="5">
        <f>IF(A51="","",IF(G51="legacy",DATE(2026,5,15),IF(ISNUMBER(F51),(F51+5)+CHOOSE(WEEKDAY(F51+5,2),0,0,0,0,0,2,1),"")))</f>
        <v/>
      </c>
      <c r="E51" s="5">
        <f>IFERROR(INDEX('Batch Dates'!$F:$F,MATCH(J51,'Batch Dates'!$C:$C,0)),IFERROR(INDEX('Batch Dates'!$F:$F,MATCH(I51,'Batch Dates'!$B:$B,0)),""))</f>
        <v/>
      </c>
      <c r="F51" s="5">
        <f>IFERROR(INDEX('Batch Dates'!$G:$G,MATCH(J51,'Batch Dates'!$C:$C,0)),IFERROR(INDEX('Batch Dates'!$G:$G,MATCH(I51,'Batch Dates'!$B:$B,0)),""))</f>
        <v/>
      </c>
      <c r="G51" s="2" t="inlineStr">
        <is>
          <t>legacy</t>
        </is>
      </c>
      <c r="H51" s="2" t="inlineStr">
        <is>
          <t>initial release</t>
        </is>
      </c>
      <c r="I51" s="3" t="inlineStr">
        <is>
          <t>KC102501</t>
        </is>
      </c>
      <c r="J51" s="2" t="inlineStr">
        <is>
          <t>P060172</t>
        </is>
      </c>
      <c r="K51" s="2" t="inlineStr">
        <is>
          <t>Kush Crasher</t>
        </is>
      </c>
      <c r="L51" s="2" t="inlineStr">
        <is>
          <t>Ident A + Ident B + Foreign matter</t>
        </is>
      </c>
      <c r="M51" s="6" t="inlineStr">
        <is>
          <t>—</t>
        </is>
      </c>
      <c r="N51" s="2">
        <f>IFERROR(INDEX('CoQ Register'!$B:$B,MATCH("P060172|I",'CoQ Register'!$S:$S,0)),"—")</f>
        <v/>
      </c>
      <c r="O51" s="2" t="inlineStr">
        <is>
          <t>iCoA-PP-2026-0013</t>
        </is>
      </c>
      <c r="P51" s="2" t="inlineStr">
        <is>
          <t>P060172|I</t>
        </is>
      </c>
      <c r="Q51" s="7" t="inlineStr">
        <is>
          <t>registered — issued with the legacy series on 15.05.2026</t>
        </is>
      </c>
    </row>
    <row r="52">
      <c r="A52" s="2">
        <f>IF(C52="yes",COUNT(A$1:A51)+1,"")</f>
        <v/>
      </c>
      <c r="B52" s="3">
        <f>IF(A52&lt;&gt;"","iCoA-PP_26-"&amp;TEXT(A52,"000"),IF(C52="n/a","not needed","— at issue —"))</f>
        <v/>
      </c>
      <c r="C52" s="4" t="inlineStr">
        <is>
          <t>yes</t>
        </is>
      </c>
      <c r="D52" s="5">
        <f>IF(A52="","",IF(G52="legacy",DATE(2026,5,15),IF(ISNUMBER(F52),(F52+5)+CHOOSE(WEEKDAY(F52+5,2),0,0,0,0,0,2,1),"")))</f>
        <v/>
      </c>
      <c r="E52" s="5">
        <f>IFERROR(INDEX('Batch Dates'!$F:$F,MATCH(J52,'Batch Dates'!$C:$C,0)),IFERROR(INDEX('Batch Dates'!$F:$F,MATCH(I52,'Batch Dates'!$B:$B,0)),""))</f>
        <v/>
      </c>
      <c r="F52" s="5">
        <f>IFERROR(INDEX('Batch Dates'!$G:$G,MATCH(J52,'Batch Dates'!$C:$C,0)),IFERROR(INDEX('Batch Dates'!$G:$G,MATCH(I52,'Batch Dates'!$B:$B,0)),""))</f>
        <v/>
      </c>
      <c r="G52" s="2" t="inlineStr">
        <is>
          <t>legacy</t>
        </is>
      </c>
      <c r="H52" s="2" t="inlineStr">
        <is>
          <t>initial release</t>
        </is>
      </c>
      <c r="I52" s="3" t="inlineStr">
        <is>
          <t>GRC102501</t>
        </is>
      </c>
      <c r="J52" s="2" t="inlineStr">
        <is>
          <t>P060182</t>
        </is>
      </c>
      <c r="K52" s="2" t="inlineStr">
        <is>
          <t>Graps &amp; Creme</t>
        </is>
      </c>
      <c r="L52" s="2" t="inlineStr">
        <is>
          <t>Ident A + Ident B + Foreign matter</t>
        </is>
      </c>
      <c r="M52" s="6" t="inlineStr">
        <is>
          <t>—</t>
        </is>
      </c>
      <c r="N52" s="2">
        <f>IFERROR(INDEX('CoQ Register'!$B:$B,MATCH("P060182|I",'CoQ Register'!$S:$S,0)),"—")</f>
        <v/>
      </c>
      <c r="O52" s="2" t="inlineStr">
        <is>
          <t>iCoA-PP-2026-0014</t>
        </is>
      </c>
      <c r="P52" s="2" t="inlineStr">
        <is>
          <t>P060182|I</t>
        </is>
      </c>
      <c r="Q52" s="7" t="inlineStr">
        <is>
          <t>registered — issued with the legacy series on 15.05.2026</t>
        </is>
      </c>
    </row>
    <row r="53">
      <c r="A53" s="2">
        <f>IF(C53="yes",COUNT(A$1:A52)+1,"")</f>
        <v/>
      </c>
      <c r="B53" s="3">
        <f>IF(A53&lt;&gt;"","iCoA-PP_26-"&amp;TEXT(A53,"000"),IF(C53="n/a","not needed","— at issue —"))</f>
        <v/>
      </c>
      <c r="C53" s="4" t="inlineStr">
        <is>
          <t>yes</t>
        </is>
      </c>
      <c r="D53" s="5">
        <f>IF(A53="","",IF(G53="legacy",DATE(2026,5,15),IF(ISNUMBER(F53),(F53+5)+CHOOSE(WEEKDAY(F53+5,2),0,0,0,0,0,2,1),"")))</f>
        <v/>
      </c>
      <c r="E53" s="5">
        <f>IFERROR(INDEX('Batch Dates'!$F:$F,MATCH(J53,'Batch Dates'!$C:$C,0)),IFERROR(INDEX('Batch Dates'!$F:$F,MATCH(I53,'Batch Dates'!$B:$B,0)),""))</f>
        <v/>
      </c>
      <c r="F53" s="5">
        <f>IFERROR(INDEX('Batch Dates'!$G:$G,MATCH(J53,'Batch Dates'!$C:$C,0)),IFERROR(INDEX('Batch Dates'!$G:$G,MATCH(I53,'Batch Dates'!$B:$B,0)),""))</f>
        <v/>
      </c>
      <c r="G53" s="2" t="inlineStr">
        <is>
          <t>legacy</t>
        </is>
      </c>
      <c r="H53" s="2" t="inlineStr">
        <is>
          <t>initial release</t>
        </is>
      </c>
      <c r="I53" s="3" t="inlineStr">
        <is>
          <t>SJ112501</t>
        </is>
      </c>
      <c r="J53" s="2" t="inlineStr">
        <is>
          <t>P060192</t>
        </is>
      </c>
      <c r="K53" s="2" t="inlineStr">
        <is>
          <t>Sleepy Joy</t>
        </is>
      </c>
      <c r="L53" s="2" t="inlineStr">
        <is>
          <t>Ident A + Ident B + Foreign matter</t>
        </is>
      </c>
      <c r="M53" s="6" t="inlineStr">
        <is>
          <t>—</t>
        </is>
      </c>
      <c r="N53" s="2">
        <f>IFERROR(INDEX('CoQ Register'!$B:$B,MATCH("P060192|I",'CoQ Register'!$S:$S,0)),"—")</f>
        <v/>
      </c>
      <c r="O53" s="6" t="inlineStr">
        <is>
          <t>—</t>
        </is>
      </c>
      <c r="P53" s="2" t="inlineStr">
        <is>
          <t>P060192|I</t>
        </is>
      </c>
      <c r="Q53" s="7" t="inlineStr">
        <is>
          <t>registered — issued with the legacy series on 15.05.2026</t>
        </is>
      </c>
    </row>
    <row r="54">
      <c r="A54" s="2">
        <f>IF(C54="yes",COUNT(A$1:A53)+1,"")</f>
        <v/>
      </c>
      <c r="B54" s="3">
        <f>IF(A54&lt;&gt;"","iCoA-PP_26-"&amp;TEXT(A54,"000"),IF(C54="n/a","not needed","— at issue —"))</f>
        <v/>
      </c>
      <c r="C54" s="4" t="inlineStr">
        <is>
          <t>yes</t>
        </is>
      </c>
      <c r="D54" s="5">
        <f>IF(A54="","",IF(G54="legacy",DATE(2026,5,15),IF(ISNUMBER(F54),(F54+5)+CHOOSE(WEEKDAY(F54+5,2),0,0,0,0,0,2,1),"")))</f>
        <v/>
      </c>
      <c r="E54" s="5">
        <f>IFERROR(INDEX('Batch Dates'!$F:$F,MATCH(J54,'Batch Dates'!$C:$C,0)),IFERROR(INDEX('Batch Dates'!$F:$F,MATCH(I54,'Batch Dates'!$B:$B,0)),""))</f>
        <v/>
      </c>
      <c r="F54" s="5">
        <f>IFERROR(INDEX('Batch Dates'!$G:$G,MATCH(J54,'Batch Dates'!$C:$C,0)),IFERROR(INDEX('Batch Dates'!$G:$G,MATCH(I54,'Batch Dates'!$B:$B,0)),""))</f>
        <v/>
      </c>
      <c r="G54" s="2" t="inlineStr">
        <is>
          <t>legacy</t>
        </is>
      </c>
      <c r="H54" s="2" t="inlineStr">
        <is>
          <t>initial release</t>
        </is>
      </c>
      <c r="I54" s="3" t="inlineStr">
        <is>
          <t>J31112501</t>
        </is>
      </c>
      <c r="J54" s="2" t="inlineStr">
        <is>
          <t>P060202</t>
        </is>
      </c>
      <c r="K54" s="2" t="inlineStr">
        <is>
          <t>Jokerz 31</t>
        </is>
      </c>
      <c r="L54" s="2" t="inlineStr">
        <is>
          <t>Ident A + Ident B + Foreign matter</t>
        </is>
      </c>
      <c r="M54" s="6" t="inlineStr">
        <is>
          <t>—</t>
        </is>
      </c>
      <c r="N54" s="2">
        <f>IFERROR(INDEX('CoQ Register'!$B:$B,MATCH("P060202|I",'CoQ Register'!$S:$S,0)),"—")</f>
        <v/>
      </c>
      <c r="O54" s="6" t="inlineStr">
        <is>
          <t>—</t>
        </is>
      </c>
      <c r="P54" s="2" t="inlineStr">
        <is>
          <t>P060202|I</t>
        </is>
      </c>
      <c r="Q54" s="7" t="inlineStr">
        <is>
          <t>registered — issued with the legacy series on 15.05.2026</t>
        </is>
      </c>
    </row>
    <row r="55">
      <c r="A55" s="2">
        <f>IF(C55="yes",COUNT(A$1:A54)+1,"")</f>
        <v/>
      </c>
      <c r="B55" s="3">
        <f>IF(A55&lt;&gt;"","iCoA-PP_26-"&amp;TEXT(A55,"000"),IF(C55="n/a","not needed","— at issue —"))</f>
        <v/>
      </c>
      <c r="C55" s="4" t="inlineStr">
        <is>
          <t>yes</t>
        </is>
      </c>
      <c r="D55" s="5">
        <f>IF(A55="","",IF(G55="legacy",DATE(2026,5,15),IF(ISNUMBER(F55),(F55+5)+CHOOSE(WEEKDAY(F55+5,2),0,0,0,0,0,2,1),"")))</f>
        <v/>
      </c>
      <c r="E55" s="5">
        <f>IFERROR(INDEX('Batch Dates'!$F:$F,MATCH(J55,'Batch Dates'!$C:$C,0)),IFERROR(INDEX('Batch Dates'!$F:$F,MATCH(I55,'Batch Dates'!$B:$B,0)),""))</f>
        <v/>
      </c>
      <c r="F55" s="5">
        <f>IFERROR(INDEX('Batch Dates'!$G:$G,MATCH(J55,'Batch Dates'!$C:$C,0)),IFERROR(INDEX('Batch Dates'!$G:$G,MATCH(I55,'Batch Dates'!$B:$B,0)),""))</f>
        <v/>
      </c>
      <c r="G55" s="2" t="inlineStr">
        <is>
          <t>legacy</t>
        </is>
      </c>
      <c r="H55" s="2" t="inlineStr">
        <is>
          <t>initial release</t>
        </is>
      </c>
      <c r="I55" s="3" t="inlineStr">
        <is>
          <t>JD112501</t>
        </is>
      </c>
      <c r="J55" s="2" t="inlineStr">
        <is>
          <t>P060212</t>
        </is>
      </c>
      <c r="K55" s="2" t="inlineStr">
        <is>
          <t>Jelly Donutz</t>
        </is>
      </c>
      <c r="L55" s="2" t="inlineStr">
        <is>
          <t>Ident A + Ident B + Foreign matter</t>
        </is>
      </c>
      <c r="M55" s="6" t="inlineStr">
        <is>
          <t>—</t>
        </is>
      </c>
      <c r="N55" s="2">
        <f>IFERROR(INDEX('CoQ Register'!$B:$B,MATCH("P060212|I",'CoQ Register'!$S:$S,0)),"—")</f>
        <v/>
      </c>
      <c r="O55" s="2" t="inlineStr">
        <is>
          <t>iCoA-PP-2026-0015</t>
        </is>
      </c>
      <c r="P55" s="2" t="inlineStr">
        <is>
          <t>P060212|I</t>
        </is>
      </c>
      <c r="Q55" s="7" t="inlineStr">
        <is>
          <t>registered — issued with the legacy series on 15.05.2026</t>
        </is>
      </c>
    </row>
    <row r="56">
      <c r="A56" s="2">
        <f>IF(C56="yes",COUNT(A$1:A55)+1,"")</f>
        <v/>
      </c>
      <c r="B56" s="3">
        <f>IF(A56&lt;&gt;"","iCoA-PP_26-"&amp;TEXT(A56,"000"),IF(C56="n/a","not needed","— at issue —"))</f>
        <v/>
      </c>
      <c r="C56" s="4" t="inlineStr">
        <is>
          <t>yes</t>
        </is>
      </c>
      <c r="D56" s="5">
        <f>IF(A56="","",IF(G56="legacy",DATE(2026,5,15),IF(ISNUMBER(F56),(F56+5)+CHOOSE(WEEKDAY(F56+5,2),0,0,0,0,0,2,1),"")))</f>
        <v/>
      </c>
      <c r="E56" s="5">
        <f>IFERROR(INDEX('Batch Dates'!$F:$F,MATCH(J56,'Batch Dates'!$C:$C,0)),IFERROR(INDEX('Batch Dates'!$F:$F,MATCH(I56,'Batch Dates'!$B:$B,0)),""))</f>
        <v/>
      </c>
      <c r="F56" s="5">
        <f>IFERROR(INDEX('Batch Dates'!$G:$G,MATCH(J56,'Batch Dates'!$C:$C,0)),IFERROR(INDEX('Batch Dates'!$G:$G,MATCH(I56,'Batch Dates'!$B:$B,0)),""))</f>
        <v/>
      </c>
      <c r="G56" s="2" t="inlineStr">
        <is>
          <t>legacy</t>
        </is>
      </c>
      <c r="H56" s="2" t="inlineStr">
        <is>
          <t>initial release</t>
        </is>
      </c>
      <c r="I56" s="3" t="inlineStr">
        <is>
          <t>JD112501＊</t>
        </is>
      </c>
      <c r="J56" s="2" t="inlineStr">
        <is>
          <t>P060212</t>
        </is>
      </c>
      <c r="K56" s="2" t="inlineStr">
        <is>
          <t>Jelly Donutz</t>
        </is>
      </c>
      <c r="L56" s="2" t="inlineStr">
        <is>
          <t>Ident A + Ident B + Foreign matter</t>
        </is>
      </c>
      <c r="M56" s="6" t="inlineStr">
        <is>
          <t>—</t>
        </is>
      </c>
      <c r="N56" s="2">
        <f>IFERROR(INDEX('CoQ Register'!$B:$B,MATCH("JD112501|I",'CoQ Register'!$S:$S,0)),"—")</f>
        <v/>
      </c>
      <c r="O56" s="2" t="inlineStr">
        <is>
          <t>iCoA-PP-2026-0015</t>
        </is>
      </c>
      <c r="P56" s="2" t="inlineStr">
        <is>
          <t>JD112501|I</t>
        </is>
      </c>
      <c r="Q56" s="7" t="inlineStr">
        <is>
          <t>registered — issued with the legacy series on 15.05.2026</t>
        </is>
      </c>
    </row>
    <row r="57">
      <c r="A57" s="2">
        <f>IF(C57="yes",COUNT(A$1:A56)+1,"")</f>
        <v/>
      </c>
      <c r="B57" s="3">
        <f>IF(A57&lt;&gt;"","iCoA-PP_26-"&amp;TEXT(A57,"000"),IF(C57="n/a","not needed","— at issue —"))</f>
        <v/>
      </c>
      <c r="C57" s="4" t="inlineStr">
        <is>
          <t>yes</t>
        </is>
      </c>
      <c r="D57" s="5">
        <f>IF(A57="","",IF(G57="legacy",DATE(2026,5,15),IF(ISNUMBER(F57),(F57+5)+CHOOSE(WEEKDAY(F57+5,2),0,0,0,0,0,2,1),"")))</f>
        <v/>
      </c>
      <c r="E57" s="5">
        <f>IFERROR(INDEX('Batch Dates'!$F:$F,MATCH(J57,'Batch Dates'!$C:$C,0)),IFERROR(INDEX('Batch Dates'!$F:$F,MATCH(I57,'Batch Dates'!$B:$B,0)),""))</f>
        <v/>
      </c>
      <c r="F57" s="5">
        <f>IFERROR(INDEX('Batch Dates'!$G:$G,MATCH(J57,'Batch Dates'!$C:$C,0)),IFERROR(INDEX('Batch Dates'!$G:$G,MATCH(I57,'Batch Dates'!$B:$B,0)),""))</f>
        <v/>
      </c>
      <c r="G57" s="2" t="inlineStr">
        <is>
          <t>legacy</t>
        </is>
      </c>
      <c r="H57" s="2" t="inlineStr">
        <is>
          <t>initial release</t>
        </is>
      </c>
      <c r="I57" s="3" t="inlineStr">
        <is>
          <t>OPM112501</t>
        </is>
      </c>
      <c r="J57" s="2" t="inlineStr">
        <is>
          <t>P060222</t>
        </is>
      </c>
      <c r="K57" s="2" t="inlineStr">
        <is>
          <t>Orange Punch Mimosa</t>
        </is>
      </c>
      <c r="L57" s="2" t="inlineStr">
        <is>
          <t>Ident A + Ident B + Foreign matter</t>
        </is>
      </c>
      <c r="M57" s="6" t="inlineStr">
        <is>
          <t>—</t>
        </is>
      </c>
      <c r="N57" s="2">
        <f>IFERROR(INDEX('CoQ Register'!$B:$B,MATCH("P060222|I",'CoQ Register'!$S:$S,0)),"—")</f>
        <v/>
      </c>
      <c r="O57" s="6" t="inlineStr">
        <is>
          <t>—</t>
        </is>
      </c>
      <c r="P57" s="2" t="inlineStr">
        <is>
          <t>P060222|I</t>
        </is>
      </c>
      <c r="Q57" s="7" t="inlineStr">
        <is>
          <t>registered — issued with the legacy series on 15.05.2026</t>
        </is>
      </c>
    </row>
    <row r="58">
      <c r="A58" s="2">
        <f>IF(C58="yes",COUNT(A$1:A57)+1,"")</f>
        <v/>
      </c>
      <c r="B58" s="3">
        <f>IF(A58&lt;&gt;"","iCoA-PP_26-"&amp;TEXT(A58,"000"),IF(C58="n/a","not needed","— at issue —"))</f>
        <v/>
      </c>
      <c r="C58" s="4" t="inlineStr">
        <is>
          <t>yes</t>
        </is>
      </c>
      <c r="D58" s="5">
        <f>IF(A58="","",IF(G58="legacy",DATE(2026,5,15),IF(ISNUMBER(F58),(F58+5)+CHOOSE(WEEKDAY(F58+5,2),0,0,0,0,0,2,1),"")))</f>
        <v/>
      </c>
      <c r="E58" s="5">
        <f>IFERROR(INDEX('Batch Dates'!$F:$F,MATCH(J58,'Batch Dates'!$C:$C,0)),IFERROR(INDEX('Batch Dates'!$F:$F,MATCH(I58,'Batch Dates'!$B:$B,0)),""))</f>
        <v/>
      </c>
      <c r="F58" s="5">
        <f>IFERROR(INDEX('Batch Dates'!$G:$G,MATCH(J58,'Batch Dates'!$C:$C,0)),IFERROR(INDEX('Batch Dates'!$G:$G,MATCH(I58,'Batch Dates'!$B:$B,0)),""))</f>
        <v/>
      </c>
      <c r="G58" s="2" t="inlineStr">
        <is>
          <t>legacy</t>
        </is>
      </c>
      <c r="H58" s="2" t="inlineStr">
        <is>
          <t>initial release</t>
        </is>
      </c>
      <c r="I58" s="3" t="inlineStr">
        <is>
          <t>PM112501</t>
        </is>
      </c>
      <c r="J58" s="2" t="inlineStr">
        <is>
          <t>P060232</t>
        </is>
      </c>
      <c r="K58" s="2" t="inlineStr">
        <is>
          <t>Permanent Market</t>
        </is>
      </c>
      <c r="L58" s="2" t="inlineStr">
        <is>
          <t>Ident A + Ident B + Foreign matter</t>
        </is>
      </c>
      <c r="M58" s="6" t="inlineStr">
        <is>
          <t>—</t>
        </is>
      </c>
      <c r="N58" s="2">
        <f>IFERROR(INDEX('CoQ Register'!$B:$B,MATCH("P060232|I",'CoQ Register'!$S:$S,0)),"—")</f>
        <v/>
      </c>
      <c r="O58" s="2" t="inlineStr">
        <is>
          <t>iCoA-PP-2026-0016</t>
        </is>
      </c>
      <c r="P58" s="2" t="inlineStr">
        <is>
          <t>P060232|I</t>
        </is>
      </c>
      <c r="Q58" s="7" t="inlineStr">
        <is>
          <t>registered — issued with the legacy series on 15.05.2026</t>
        </is>
      </c>
    </row>
    <row r="59">
      <c r="A59" s="2">
        <f>IF(C59="yes",COUNT(A$1:A58)+1,"")</f>
        <v/>
      </c>
      <c r="B59" s="3">
        <f>IF(A59&lt;&gt;"","iCoA-PP_26-"&amp;TEXT(A59,"000"),IF(C59="n/a","not needed","— at issue —"))</f>
        <v/>
      </c>
      <c r="C59" s="4" t="inlineStr">
        <is>
          <t>yes</t>
        </is>
      </c>
      <c r="D59" s="5">
        <f>IF(A59="","",IF(G59="legacy",DATE(2026,5,15),IF(ISNUMBER(F59),(F59+5)+CHOOSE(WEEKDAY(F59+5,2),0,0,0,0,0,2,1),"")))</f>
        <v/>
      </c>
      <c r="E59" s="5">
        <f>IFERROR(INDEX('Batch Dates'!$F:$F,MATCH(J59,'Batch Dates'!$C:$C,0)),IFERROR(INDEX('Batch Dates'!$F:$F,MATCH(I59,'Batch Dates'!$B:$B,0)),""))</f>
        <v/>
      </c>
      <c r="F59" s="5">
        <f>IFERROR(INDEX('Batch Dates'!$G:$G,MATCH(J59,'Batch Dates'!$C:$C,0)),IFERROR(INDEX('Batch Dates'!$G:$G,MATCH(I59,'Batch Dates'!$B:$B,0)),""))</f>
        <v/>
      </c>
      <c r="G59" s="2" t="inlineStr">
        <is>
          <t>legacy</t>
        </is>
      </c>
      <c r="H59" s="2" t="inlineStr">
        <is>
          <t>initial release</t>
        </is>
      </c>
      <c r="I59" s="3" t="inlineStr">
        <is>
          <t>OPM122501</t>
        </is>
      </c>
      <c r="J59" s="2" t="inlineStr">
        <is>
          <t>P060242</t>
        </is>
      </c>
      <c r="K59" s="2" t="inlineStr">
        <is>
          <t>Orange Punch Mimosa</t>
        </is>
      </c>
      <c r="L59" s="2" t="inlineStr">
        <is>
          <t>Ident A + Ident B + Foreign matter</t>
        </is>
      </c>
      <c r="M59" s="6" t="inlineStr">
        <is>
          <t>—</t>
        </is>
      </c>
      <c r="N59" s="2">
        <f>IFERROR(INDEX('CoQ Register'!$B:$B,MATCH("P060242|I",'CoQ Register'!$S:$S,0)),"—")</f>
        <v/>
      </c>
      <c r="O59" s="2" t="inlineStr">
        <is>
          <t>iCoA-PP-2026-0017</t>
        </is>
      </c>
      <c r="P59" s="2" t="inlineStr">
        <is>
          <t>P060242|I</t>
        </is>
      </c>
      <c r="Q59" s="7" t="inlineStr">
        <is>
          <t>registered — issued with the legacy series on 15.05.2026</t>
        </is>
      </c>
    </row>
    <row r="60">
      <c r="A60" s="2">
        <f>IF(C60="yes",COUNT(A$1:A59)+1,"")</f>
        <v/>
      </c>
      <c r="B60" s="3">
        <f>IF(A60&lt;&gt;"","iCoA-PP_26-"&amp;TEXT(A60,"000"),IF(C60="n/a","not needed","— at issue —"))</f>
        <v/>
      </c>
      <c r="C60" s="4" t="inlineStr">
        <is>
          <t>yes</t>
        </is>
      </c>
      <c r="D60" s="5">
        <f>IF(A60="","",IF(G60="legacy",DATE(2026,5,15),IF(ISNUMBER(F60),(F60+5)+CHOOSE(WEEKDAY(F60+5,2),0,0,0,0,0,2,1),"")))</f>
        <v/>
      </c>
      <c r="E60" s="5">
        <f>IFERROR(INDEX('Batch Dates'!$F:$F,MATCH(J60,'Batch Dates'!$C:$C,0)),IFERROR(INDEX('Batch Dates'!$F:$F,MATCH(I60,'Batch Dates'!$B:$B,0)),""))</f>
        <v/>
      </c>
      <c r="F60" s="5">
        <f>IFERROR(INDEX('Batch Dates'!$G:$G,MATCH(J60,'Batch Dates'!$C:$C,0)),IFERROR(INDEX('Batch Dates'!$G:$G,MATCH(I60,'Batch Dates'!$B:$B,0)),""))</f>
        <v/>
      </c>
      <c r="G60" s="2" t="inlineStr">
        <is>
          <t>legacy</t>
        </is>
      </c>
      <c r="H60" s="2" t="inlineStr">
        <is>
          <t>initial release</t>
        </is>
      </c>
      <c r="I60" s="3" t="inlineStr">
        <is>
          <t>GG112501</t>
        </is>
      </c>
      <c r="J60" s="2" t="inlineStr">
        <is>
          <t>P060252</t>
        </is>
      </c>
      <c r="K60" s="2" t="inlineStr">
        <is>
          <t>Gorilla Glue</t>
        </is>
      </c>
      <c r="L60" s="2" t="inlineStr">
        <is>
          <t>Ident A + Ident B + Foreign matter</t>
        </is>
      </c>
      <c r="M60" s="6" t="inlineStr">
        <is>
          <t>—</t>
        </is>
      </c>
      <c r="N60" s="2">
        <f>IFERROR(INDEX('CoQ Register'!$B:$B,MATCH("P060252|I",'CoQ Register'!$S:$S,0)),"—")</f>
        <v/>
      </c>
      <c r="O60" s="6" t="inlineStr">
        <is>
          <t>—</t>
        </is>
      </c>
      <c r="P60" s="2" t="inlineStr">
        <is>
          <t>P060252|I</t>
        </is>
      </c>
      <c r="Q60" s="7" t="inlineStr">
        <is>
          <t>registered — issued with the legacy series on 15.05.2026</t>
        </is>
      </c>
    </row>
    <row r="61">
      <c r="A61" s="2">
        <f>IF(C61="yes",COUNT(A$1:A60)+1,"")</f>
        <v/>
      </c>
      <c r="B61" s="3">
        <f>IF(A61&lt;&gt;"","iCoA-PP_26-"&amp;TEXT(A61,"000"),IF(C61="n/a","not needed","— at issue —"))</f>
        <v/>
      </c>
      <c r="C61" s="4" t="inlineStr">
        <is>
          <t>yes</t>
        </is>
      </c>
      <c r="D61" s="5">
        <f>IF(A61="","",IF(G61="legacy",DATE(2026,5,15),IF(ISNUMBER(F61),(F61+5)+CHOOSE(WEEKDAY(F61+5,2),0,0,0,0,0,2,1),"")))</f>
        <v/>
      </c>
      <c r="E61" s="5">
        <f>IFERROR(INDEX('Batch Dates'!$F:$F,MATCH(J61,'Batch Dates'!$C:$C,0)),IFERROR(INDEX('Batch Dates'!$F:$F,MATCH(I61,'Batch Dates'!$B:$B,0)),""))</f>
        <v/>
      </c>
      <c r="F61" s="5">
        <f>IFERROR(INDEX('Batch Dates'!$G:$G,MATCH(J61,'Batch Dates'!$C:$C,0)),IFERROR(INDEX('Batch Dates'!$G:$G,MATCH(I61,'Batch Dates'!$B:$B,0)),""))</f>
        <v/>
      </c>
      <c r="G61" s="2" t="inlineStr">
        <is>
          <t>post-SOP</t>
        </is>
      </c>
      <c r="H61" s="2" t="inlineStr">
        <is>
          <t>initial release</t>
        </is>
      </c>
      <c r="I61" s="3" t="inlineStr">
        <is>
          <t>J31122501</t>
        </is>
      </c>
      <c r="J61" s="2" t="inlineStr">
        <is>
          <t>P060262</t>
        </is>
      </c>
      <c r="K61" s="2" t="inlineStr">
        <is>
          <t>Jokerz 31</t>
        </is>
      </c>
      <c r="L61" s="2" t="inlineStr">
        <is>
          <t>Ident A + Ident B + Foreign matter</t>
        </is>
      </c>
      <c r="M61" s="6" t="inlineStr">
        <is>
          <t>—</t>
        </is>
      </c>
      <c r="N61" s="2">
        <f>IFERROR(INDEX('CoQ Register'!$B:$B,MATCH("P060262|I",'CoQ Register'!$S:$S,0)),"—")</f>
        <v/>
      </c>
      <c r="O61" s="6" t="inlineStr">
        <is>
          <t>—</t>
        </is>
      </c>
      <c r="P61" s="2" t="inlineStr">
        <is>
          <t>P060262|I</t>
        </is>
      </c>
      <c r="Q61" s="7" t="inlineStr">
        <is>
          <t>registered — first working day 5 days after packaging</t>
        </is>
      </c>
    </row>
    <row r="62">
      <c r="A62" s="2">
        <f>IF(C62="yes",COUNT(A$1:A61)+1,"")</f>
        <v/>
      </c>
      <c r="B62" s="3">
        <f>IF(A62&lt;&gt;"","iCoA-PP_26-"&amp;TEXT(A62,"000"),IF(C62="n/a","not needed","— at issue —"))</f>
        <v/>
      </c>
      <c r="C62" s="4" t="inlineStr">
        <is>
          <t>yes</t>
        </is>
      </c>
      <c r="D62" s="5">
        <f>IF(A62="","",IF(G62="legacy",DATE(2026,5,15),IF(ISNUMBER(F62),(F62+5)+CHOOSE(WEEKDAY(F62+5,2),0,0,0,0,0,2,1),"")))</f>
        <v/>
      </c>
      <c r="E62" s="5">
        <f>IFERROR(INDEX('Batch Dates'!$F:$F,MATCH(J62,'Batch Dates'!$C:$C,0)),IFERROR(INDEX('Batch Dates'!$F:$F,MATCH(I62,'Batch Dates'!$B:$B,0)),""))</f>
        <v/>
      </c>
      <c r="F62" s="5">
        <f>IFERROR(INDEX('Batch Dates'!$G:$G,MATCH(J62,'Batch Dates'!$C:$C,0)),IFERROR(INDEX('Batch Dates'!$G:$G,MATCH(I62,'Batch Dates'!$B:$B,0)),""))</f>
        <v/>
      </c>
      <c r="G62" s="2" t="inlineStr">
        <is>
          <t>post-SOP</t>
        </is>
      </c>
      <c r="H62" s="2" t="inlineStr">
        <is>
          <t>initial release</t>
        </is>
      </c>
      <c r="I62" s="3" t="inlineStr">
        <is>
          <t>CC112501</t>
        </is>
      </c>
      <c r="J62" s="2" t="inlineStr">
        <is>
          <t>P060272</t>
        </is>
      </c>
      <c r="K62" s="2" t="inlineStr">
        <is>
          <t>Cash Cow</t>
        </is>
      </c>
      <c r="L62" s="2" t="inlineStr">
        <is>
          <t>Ident A + Ident B + Foreign matter</t>
        </is>
      </c>
      <c r="M62" s="6" t="inlineStr">
        <is>
          <t>—</t>
        </is>
      </c>
      <c r="N62" s="2">
        <f>IFERROR(INDEX('CoQ Register'!$B:$B,MATCH("P060272|I",'CoQ Register'!$S:$S,0)),"—")</f>
        <v/>
      </c>
      <c r="O62" s="6" t="inlineStr">
        <is>
          <t>—</t>
        </is>
      </c>
      <c r="P62" s="2" t="inlineStr">
        <is>
          <t>P060272|I</t>
        </is>
      </c>
      <c r="Q62" s="7" t="inlineStr">
        <is>
          <t>registered — first working day 5 days after packaging</t>
        </is>
      </c>
    </row>
    <row r="63">
      <c r="A63" s="2">
        <f>IF(C63="yes",COUNT(A$1:A62)+1,"")</f>
        <v/>
      </c>
      <c r="B63" s="3">
        <f>IF(A63&lt;&gt;"","iCoA-PP_26-"&amp;TEXT(A63,"000"),IF(C63="n/a","not needed","— at issue —"))</f>
        <v/>
      </c>
      <c r="C63" s="4" t="inlineStr">
        <is>
          <t>yes</t>
        </is>
      </c>
      <c r="D63" s="5">
        <f>IF(A63="","",IF(G63="legacy",DATE(2026,5,15),IF(ISNUMBER(F63),(F63+5)+CHOOSE(WEEKDAY(F63+5,2),0,0,0,0,0,2,1),"")))</f>
        <v/>
      </c>
      <c r="E63" s="5">
        <f>IFERROR(INDEX('Batch Dates'!$F:$F,MATCH(J63,'Batch Dates'!$C:$C,0)),IFERROR(INDEX('Batch Dates'!$F:$F,MATCH(I63,'Batch Dates'!$B:$B,0)),""))</f>
        <v/>
      </c>
      <c r="F63" s="5">
        <f>IFERROR(INDEX('Batch Dates'!$G:$G,MATCH(J63,'Batch Dates'!$C:$C,0)),IFERROR(INDEX('Batch Dates'!$G:$G,MATCH(I63,'Batch Dates'!$B:$B,0)),""))</f>
        <v/>
      </c>
      <c r="G63" s="2" t="inlineStr">
        <is>
          <t>post-SOP</t>
        </is>
      </c>
      <c r="H63" s="2" t="inlineStr">
        <is>
          <t>initial release</t>
        </is>
      </c>
      <c r="I63" s="3" t="inlineStr">
        <is>
          <t>SCR112501</t>
        </is>
      </c>
      <c r="J63" s="2" t="inlineStr">
        <is>
          <t>P060282</t>
        </is>
      </c>
      <c r="K63" s="2" t="inlineStr">
        <is>
          <t>Scrambler</t>
        </is>
      </c>
      <c r="L63" s="2" t="inlineStr">
        <is>
          <t>Ident A + Ident B + Foreign matter</t>
        </is>
      </c>
      <c r="M63" s="6" t="inlineStr">
        <is>
          <t>—</t>
        </is>
      </c>
      <c r="N63" s="2">
        <f>IFERROR(INDEX('CoQ Register'!$B:$B,MATCH("P060282|I",'CoQ Register'!$S:$S,0)),"—")</f>
        <v/>
      </c>
      <c r="O63" s="2" t="inlineStr">
        <is>
          <t>iCoA-PP-2026-0018</t>
        </is>
      </c>
      <c r="P63" s="2" t="inlineStr">
        <is>
          <t>P060282|I</t>
        </is>
      </c>
      <c r="Q63" s="7" t="inlineStr">
        <is>
          <t>registered — first working day 5 days after packaging</t>
        </is>
      </c>
    </row>
    <row r="64">
      <c r="A64" s="2">
        <f>IF(C64="yes",COUNT(A$1:A63)+1,"")</f>
        <v/>
      </c>
      <c r="B64" s="3">
        <f>IF(A64&lt;&gt;"","iCoA-PP_26-"&amp;TEXT(A64,"000"),IF(C64="n/a","not needed","— at issue —"))</f>
        <v/>
      </c>
      <c r="C64" s="4" t="inlineStr">
        <is>
          <t>yes</t>
        </is>
      </c>
      <c r="D64" s="5">
        <f>IF(A64="","",IF(G64="legacy",DATE(2026,5,15),IF(ISNUMBER(F64),(F64+5)+CHOOSE(WEEKDAY(F64+5,2),0,0,0,0,0,2,1),"")))</f>
        <v/>
      </c>
      <c r="E64" s="5">
        <f>IFERROR(INDEX('Batch Dates'!$F:$F,MATCH(J64,'Batch Dates'!$C:$C,0)),IFERROR(INDEX('Batch Dates'!$F:$F,MATCH(I64,'Batch Dates'!$B:$B,0)),""))</f>
        <v/>
      </c>
      <c r="F64" s="5">
        <f>IFERROR(INDEX('Batch Dates'!$G:$G,MATCH(J64,'Batch Dates'!$C:$C,0)),IFERROR(INDEX('Batch Dates'!$G:$G,MATCH(I64,'Batch Dates'!$B:$B,0)),""))</f>
        <v/>
      </c>
      <c r="G64" s="2" t="inlineStr">
        <is>
          <t>post-SOP</t>
        </is>
      </c>
      <c r="H64" s="2" t="inlineStr">
        <is>
          <t>initial release</t>
        </is>
      </c>
      <c r="I64" s="3" t="inlineStr">
        <is>
          <t>FB112501</t>
        </is>
      </c>
      <c r="J64" s="2" t="inlineStr">
        <is>
          <t>P060292</t>
        </is>
      </c>
      <c r="K64" s="2" t="inlineStr">
        <is>
          <t>Fat Bastard</t>
        </is>
      </c>
      <c r="L64" s="2" t="inlineStr">
        <is>
          <t>Ident A + Ident B + Foreign matter</t>
        </is>
      </c>
      <c r="M64" s="6" t="inlineStr">
        <is>
          <t>—</t>
        </is>
      </c>
      <c r="N64" s="2">
        <f>IFERROR(INDEX('CoQ Register'!$B:$B,MATCH("P060292|I",'CoQ Register'!$S:$S,0)),"—")</f>
        <v/>
      </c>
      <c r="O64" s="6" t="inlineStr">
        <is>
          <t>—</t>
        </is>
      </c>
      <c r="P64" s="2" t="inlineStr">
        <is>
          <t>P060292|I</t>
        </is>
      </c>
      <c r="Q64" s="7" t="inlineStr">
        <is>
          <t>registered — first working day 5 days after packaging</t>
        </is>
      </c>
    </row>
    <row r="65">
      <c r="A65" s="2">
        <f>IF(C65="yes",COUNT(A$1:A64)+1,"")</f>
        <v/>
      </c>
      <c r="B65" s="3">
        <f>IF(A65&lt;&gt;"","iCoA-PP_26-"&amp;TEXT(A65,"000"),IF(C65="n/a","not needed","— at issue —"))</f>
        <v/>
      </c>
      <c r="C65" s="4" t="inlineStr">
        <is>
          <t>yes</t>
        </is>
      </c>
      <c r="D65" s="5">
        <f>IF(A65="","",IF(G65="legacy",DATE(2026,5,15),IF(ISNUMBER(F65),(F65+5)+CHOOSE(WEEKDAY(F65+5,2),0,0,0,0,0,2,1),"")))</f>
        <v/>
      </c>
      <c r="E65" s="5">
        <f>IFERROR(INDEX('Batch Dates'!$F:$F,MATCH(J65,'Batch Dates'!$C:$C,0)),IFERROR(INDEX('Batch Dates'!$F:$F,MATCH(I65,'Batch Dates'!$B:$B,0)),""))</f>
        <v/>
      </c>
      <c r="F65" s="5">
        <f>IFERROR(INDEX('Batch Dates'!$G:$G,MATCH(J65,'Batch Dates'!$C:$C,0)),IFERROR(INDEX('Batch Dates'!$G:$G,MATCH(I65,'Batch Dates'!$B:$B,0)),""))</f>
        <v/>
      </c>
      <c r="G65" s="2" t="inlineStr">
        <is>
          <t>post-SOP</t>
        </is>
      </c>
      <c r="H65" s="2" t="inlineStr">
        <is>
          <t>initial release</t>
        </is>
      </c>
      <c r="I65" s="3" t="inlineStr">
        <is>
          <t>GG012601＊</t>
        </is>
      </c>
      <c r="J65" s="2" t="inlineStr">
        <is>
          <t>P060302</t>
        </is>
      </c>
      <c r="K65" s="2" t="inlineStr">
        <is>
          <t>Gorilla Glue</t>
        </is>
      </c>
      <c r="L65" s="2" t="inlineStr">
        <is>
          <t>Ident A + Ident B + Foreign matter</t>
        </is>
      </c>
      <c r="M65" s="6" t="inlineStr">
        <is>
          <t>—</t>
        </is>
      </c>
      <c r="N65" s="2">
        <f>IFERROR(INDEX('CoQ Register'!$B:$B,MATCH("P060302|I",'CoQ Register'!$S:$S,0)),"—")</f>
        <v/>
      </c>
      <c r="O65" s="6" t="inlineStr">
        <is>
          <t>—</t>
        </is>
      </c>
      <c r="P65" s="2" t="inlineStr">
        <is>
          <t>P060302|I</t>
        </is>
      </c>
      <c r="Q65" s="7" t="inlineStr">
        <is>
          <t>registered — first working day 5 days after packaging</t>
        </is>
      </c>
    </row>
    <row r="66">
      <c r="A66" s="2">
        <f>IF(C66="yes",COUNT(A$1:A65)+1,"")</f>
        <v/>
      </c>
      <c r="B66" s="3">
        <f>IF(A66&lt;&gt;"","iCoA-PP_26-"&amp;TEXT(A66,"000"),IF(C66="n/a","not needed","— at issue —"))</f>
        <v/>
      </c>
      <c r="C66" s="4" t="inlineStr">
        <is>
          <t>yes</t>
        </is>
      </c>
      <c r="D66" s="5">
        <f>IF(A66="","",IF(G66="legacy",DATE(2026,5,15),IF(ISNUMBER(F66),(F66+5)+CHOOSE(WEEKDAY(F66+5,2),0,0,0,0,0,2,1),"")))</f>
        <v/>
      </c>
      <c r="E66" s="5">
        <f>IFERROR(INDEX('Batch Dates'!$F:$F,MATCH(J66,'Batch Dates'!$C:$C,0)),IFERROR(INDEX('Batch Dates'!$F:$F,MATCH(I66,'Batch Dates'!$B:$B,0)),""))</f>
        <v/>
      </c>
      <c r="F66" s="5">
        <f>IFERROR(INDEX('Batch Dates'!$G:$G,MATCH(J66,'Batch Dates'!$C:$C,0)),IFERROR(INDEX('Batch Dates'!$G:$G,MATCH(I66,'Batch Dates'!$B:$B,0)),""))</f>
        <v/>
      </c>
      <c r="G66" s="2" t="inlineStr">
        <is>
          <t>post-SOP</t>
        </is>
      </c>
      <c r="H66" s="2" t="inlineStr">
        <is>
          <t>initial release</t>
        </is>
      </c>
      <c r="I66" s="3" t="inlineStr">
        <is>
          <t>JD012601＊</t>
        </is>
      </c>
      <c r="J66" s="2" t="inlineStr">
        <is>
          <t>P060312</t>
        </is>
      </c>
      <c r="K66" s="2" t="inlineStr">
        <is>
          <t>Jelly Donutz</t>
        </is>
      </c>
      <c r="L66" s="2" t="inlineStr">
        <is>
          <t>Ident A + Ident B + Foreign matter</t>
        </is>
      </c>
      <c r="M66" s="6" t="inlineStr">
        <is>
          <t>—</t>
        </is>
      </c>
      <c r="N66" s="2">
        <f>IFERROR(INDEX('CoQ Register'!$B:$B,MATCH("P060312|I",'CoQ Register'!$S:$S,0)),"—")</f>
        <v/>
      </c>
      <c r="O66" s="6" t="inlineStr">
        <is>
          <t>—</t>
        </is>
      </c>
      <c r="P66" s="2" t="inlineStr">
        <is>
          <t>P060312|I</t>
        </is>
      </c>
      <c r="Q66" s="7" t="inlineStr">
        <is>
          <t>registered — first working day 5 days after packaging</t>
        </is>
      </c>
    </row>
    <row r="67">
      <c r="A67" s="2">
        <f>IF(C67="yes",COUNT(A$1:A66)+1,"")</f>
        <v/>
      </c>
      <c r="B67" s="3">
        <f>IF(A67&lt;&gt;"","iCoA-PP_26-"&amp;TEXT(A67,"000"),IF(C67="n/a","not needed","— at issue —"))</f>
        <v/>
      </c>
      <c r="C67" s="4" t="inlineStr">
        <is>
          <t>yes</t>
        </is>
      </c>
      <c r="D67" s="5">
        <f>IF(A67="","",IF(G67="legacy",DATE(2026,5,15),IF(ISNUMBER(F67),(F67+5)+CHOOSE(WEEKDAY(F67+5,2),0,0,0,0,0,2,1),"")))</f>
        <v/>
      </c>
      <c r="E67" s="5">
        <f>IFERROR(INDEX('Batch Dates'!$F:$F,MATCH(J67,'Batch Dates'!$C:$C,0)),IFERROR(INDEX('Batch Dates'!$F:$F,MATCH(I67,'Batch Dates'!$B:$B,0)),""))</f>
        <v/>
      </c>
      <c r="F67" s="5">
        <f>IFERROR(INDEX('Batch Dates'!$G:$G,MATCH(J67,'Batch Dates'!$C:$C,0)),IFERROR(INDEX('Batch Dates'!$G:$G,MATCH(I67,'Batch Dates'!$B:$B,0)),""))</f>
        <v/>
      </c>
      <c r="G67" s="2" t="inlineStr">
        <is>
          <t>post-SOP</t>
        </is>
      </c>
      <c r="H67" s="2" t="inlineStr">
        <is>
          <t>initial release</t>
        </is>
      </c>
      <c r="I67" s="3" t="inlineStr">
        <is>
          <t>CC012601/1</t>
        </is>
      </c>
      <c r="J67" s="2" t="inlineStr">
        <is>
          <t>P060332</t>
        </is>
      </c>
      <c r="K67" s="2" t="inlineStr"/>
      <c r="L67" s="2" t="inlineStr">
        <is>
          <t>Ident A + Ident B + Foreign matter</t>
        </is>
      </c>
      <c r="M67" s="6" t="inlineStr">
        <is>
          <t>—</t>
        </is>
      </c>
      <c r="N67" s="2">
        <f>IFERROR(INDEX('CoQ Register'!$B:$B,MATCH("P060332|I",'CoQ Register'!$S:$S,0)),"—")</f>
        <v/>
      </c>
      <c r="O67" s="6" t="inlineStr">
        <is>
          <t>—</t>
        </is>
      </c>
      <c r="P67" s="2" t="inlineStr">
        <is>
          <t>P060332|I</t>
        </is>
      </c>
      <c r="Q67" s="7" t="inlineStr">
        <is>
          <t>registered — first working day 5 days after packaging</t>
        </is>
      </c>
    </row>
    <row r="68">
      <c r="A68" s="2">
        <f>IF(C68="yes",COUNT(A$1:A67)+1,"")</f>
        <v/>
      </c>
      <c r="B68" s="3">
        <f>IF(A68&lt;&gt;"","iCoA-PP_26-"&amp;TEXT(A68,"000"),IF(C68="n/a","not needed","— at issue —"))</f>
        <v/>
      </c>
      <c r="C68" s="4" t="inlineStr">
        <is>
          <t>yes</t>
        </is>
      </c>
      <c r="D68" s="5">
        <f>IF(A68="","",IF(G68="legacy",DATE(2026,5,15),IF(ISNUMBER(F68),(F68+5)+CHOOSE(WEEKDAY(F68+5,2),0,0,0,0,0,2,1),"")))</f>
        <v/>
      </c>
      <c r="E68" s="5">
        <f>IFERROR(INDEX('Batch Dates'!$F:$F,MATCH(J68,'Batch Dates'!$C:$C,0)),IFERROR(INDEX('Batch Dates'!$F:$F,MATCH(I68,'Batch Dates'!$B:$B,0)),""))</f>
        <v/>
      </c>
      <c r="F68" s="5">
        <f>IFERROR(INDEX('Batch Dates'!$G:$G,MATCH(J68,'Batch Dates'!$C:$C,0)),IFERROR(INDEX('Batch Dates'!$G:$G,MATCH(I68,'Batch Dates'!$B:$B,0)),""))</f>
        <v/>
      </c>
      <c r="G68" s="2" t="inlineStr">
        <is>
          <t>post-SOP</t>
        </is>
      </c>
      <c r="H68" s="2" t="inlineStr">
        <is>
          <t>initial release</t>
        </is>
      </c>
      <c r="I68" s="3" t="inlineStr">
        <is>
          <t>FB012601_1</t>
        </is>
      </c>
      <c r="J68" s="2" t="inlineStr">
        <is>
          <t>P060322</t>
        </is>
      </c>
      <c r="K68" s="2" t="inlineStr">
        <is>
          <t>Fat Bastard</t>
        </is>
      </c>
      <c r="L68" s="2" t="inlineStr">
        <is>
          <t>Ident A + Ident B + Foreign matter</t>
        </is>
      </c>
      <c r="M68" s="6" t="inlineStr">
        <is>
          <t>—</t>
        </is>
      </c>
      <c r="N68" s="2">
        <f>IFERROR(INDEX('CoQ Register'!$B:$B,MATCH("P060322|I",'CoQ Register'!$S:$S,0)),"—")</f>
        <v/>
      </c>
      <c r="O68" s="2" t="inlineStr">
        <is>
          <t>iCoA-PP-2026-0019</t>
        </is>
      </c>
      <c r="P68" s="2" t="inlineStr">
        <is>
          <t>P060322|I</t>
        </is>
      </c>
      <c r="Q68" s="7" t="inlineStr">
        <is>
          <t>registered — first working day 5 days after packaging</t>
        </is>
      </c>
    </row>
    <row r="69">
      <c r="A69" s="2">
        <f>IF(C69="yes",COUNT(A$1:A68)+1,"")</f>
        <v/>
      </c>
      <c r="B69" s="3">
        <f>IF(A69&lt;&gt;"","iCoA-PP_26-"&amp;TEXT(A69,"000"),IF(C69="n/a","not needed","— at issue —"))</f>
        <v/>
      </c>
      <c r="C69" s="4" t="inlineStr">
        <is>
          <t>yes</t>
        </is>
      </c>
      <c r="D69" s="5">
        <f>IF(A69="","",IF(G69="legacy",DATE(2026,5,15),IF(ISNUMBER(F69),(F69+5)+CHOOSE(WEEKDAY(F69+5,2),0,0,0,0,0,2,1),"")))</f>
        <v/>
      </c>
      <c r="E69" s="5">
        <f>IFERROR(INDEX('Batch Dates'!$F:$F,MATCH(J69,'Batch Dates'!$C:$C,0)),IFERROR(INDEX('Batch Dates'!$F:$F,MATCH(I69,'Batch Dates'!$B:$B,0)),""))</f>
        <v/>
      </c>
      <c r="F69" s="5">
        <f>IFERROR(INDEX('Batch Dates'!$G:$G,MATCH(J69,'Batch Dates'!$C:$C,0)),IFERROR(INDEX('Batch Dates'!$G:$G,MATCH(I69,'Batch Dates'!$B:$B,0)),""))</f>
        <v/>
      </c>
      <c r="G69" s="2" t="inlineStr">
        <is>
          <t>post-SOP</t>
        </is>
      </c>
      <c r="H69" s="2" t="inlineStr">
        <is>
          <t>initial release</t>
        </is>
      </c>
      <c r="I69" s="3" t="inlineStr">
        <is>
          <t>FB012602*</t>
        </is>
      </c>
      <c r="J69" s="2" t="inlineStr">
        <is>
          <t>P060352</t>
        </is>
      </c>
      <c r="K69" s="2" t="inlineStr">
        <is>
          <t>Fat Bastard</t>
        </is>
      </c>
      <c r="L69" s="2" t="inlineStr">
        <is>
          <t>Ident A + Ident B + Foreign matter</t>
        </is>
      </c>
      <c r="M69" s="6" t="inlineStr">
        <is>
          <t>—</t>
        </is>
      </c>
      <c r="N69" s="2">
        <f>IFERROR(INDEX('CoQ Register'!$B:$B,MATCH("P060352|I",'CoQ Register'!$S:$S,0)),"—")</f>
        <v/>
      </c>
      <c r="O69" s="2" t="inlineStr">
        <is>
          <t>iCoA-PP-2026-0021</t>
        </is>
      </c>
      <c r="P69" s="2" t="inlineStr">
        <is>
          <t>P060352|I</t>
        </is>
      </c>
      <c r="Q69" s="7" t="inlineStr">
        <is>
          <t>registered — first working day 5 days after packaging</t>
        </is>
      </c>
    </row>
    <row r="70">
      <c r="A70" s="2">
        <f>IF(C70="yes",COUNT(A$1:A69)+1,"")</f>
        <v/>
      </c>
      <c r="B70" s="3">
        <f>IF(A70&lt;&gt;"","iCoA-PP_26-"&amp;TEXT(A70,"000"),IF(C70="n/a","not needed","— at issue —"))</f>
        <v/>
      </c>
      <c r="C70" s="4" t="inlineStr">
        <is>
          <t>yes</t>
        </is>
      </c>
      <c r="D70" s="5">
        <f>IF(A70="","",IF(G70="legacy",DATE(2026,5,15),IF(ISNUMBER(F70),(F70+5)+CHOOSE(WEEKDAY(F70+5,2),0,0,0,0,0,2,1),"")))</f>
        <v/>
      </c>
      <c r="E70" s="5">
        <f>IFERROR(INDEX('Batch Dates'!$F:$F,MATCH(J70,'Batch Dates'!$C:$C,0)),IFERROR(INDEX('Batch Dates'!$F:$F,MATCH(I70,'Batch Dates'!$B:$B,0)),""))</f>
        <v/>
      </c>
      <c r="F70" s="5">
        <f>IFERROR(INDEX('Batch Dates'!$G:$G,MATCH(J70,'Batch Dates'!$C:$C,0)),IFERROR(INDEX('Batch Dates'!$G:$G,MATCH(I70,'Batch Dates'!$B:$B,0)),""))</f>
        <v/>
      </c>
      <c r="G70" s="2" t="inlineStr">
        <is>
          <t>post-SOP</t>
        </is>
      </c>
      <c r="H70" s="2" t="inlineStr">
        <is>
          <t>initial release</t>
        </is>
      </c>
      <c r="I70" s="3" t="inlineStr">
        <is>
          <t>SCR012601* (from the list)</t>
        </is>
      </c>
      <c r="J70" s="2" t="inlineStr">
        <is>
          <t>P060342</t>
        </is>
      </c>
      <c r="K70" s="2" t="inlineStr">
        <is>
          <t>Scrambler</t>
        </is>
      </c>
      <c r="L70" s="2" t="inlineStr">
        <is>
          <t>Ident A + Ident B + Foreign matter</t>
        </is>
      </c>
      <c r="M70" s="6" t="inlineStr">
        <is>
          <t>—</t>
        </is>
      </c>
      <c r="N70" s="2">
        <f>IFERROR(INDEX('CoQ Register'!$B:$B,MATCH("P060342|I",'CoQ Register'!$S:$S,0)),"—")</f>
        <v/>
      </c>
      <c r="O70" s="6" t="inlineStr">
        <is>
          <t>—</t>
        </is>
      </c>
      <c r="P70" s="2" t="inlineStr">
        <is>
          <t>P060342|I</t>
        </is>
      </c>
      <c r="Q70" s="7" t="inlineStr">
        <is>
          <t>registered — first working day 5 days after packaging</t>
        </is>
      </c>
    </row>
    <row r="71">
      <c r="A71" s="2">
        <f>IF(C71="yes",COUNT(A$1:A70)+1,"")</f>
        <v/>
      </c>
      <c r="B71" s="3">
        <f>IF(A71&lt;&gt;"","iCoA-PP_26-"&amp;TEXT(A71,"000"),IF(C71="n/a","not needed","— at issue —"))</f>
        <v/>
      </c>
      <c r="C71" s="4" t="inlineStr">
        <is>
          <t>yes</t>
        </is>
      </c>
      <c r="D71" s="5">
        <f>IF(A71="","",IF(G71="legacy",DATE(2026,5,15),IF(ISNUMBER(F71),(F71+5)+CHOOSE(WEEKDAY(F71+5,2),0,0,0,0,0,2,1),"")))</f>
        <v/>
      </c>
      <c r="E71" s="5">
        <f>IFERROR(INDEX('Batch Dates'!$F:$F,MATCH(J71,'Batch Dates'!$C:$C,0)),IFERROR(INDEX('Batch Dates'!$F:$F,MATCH(I71,'Batch Dates'!$B:$B,0)),""))</f>
        <v/>
      </c>
      <c r="F71" s="5">
        <f>IFERROR(INDEX('Batch Dates'!$G:$G,MATCH(J71,'Batch Dates'!$C:$C,0)),IFERROR(INDEX('Batch Dates'!$G:$G,MATCH(I71,'Batch Dates'!$B:$B,0)),""))</f>
        <v/>
      </c>
      <c r="G71" s="2" t="inlineStr">
        <is>
          <t>post-SOP</t>
        </is>
      </c>
      <c r="H71" s="2" t="inlineStr">
        <is>
          <t>initial release</t>
        </is>
      </c>
      <c r="I71" s="3" t="inlineStr">
        <is>
          <t>SCR012603</t>
        </is>
      </c>
      <c r="J71" s="2" t="inlineStr">
        <is>
          <t>P060382</t>
        </is>
      </c>
      <c r="K71" s="2" t="inlineStr">
        <is>
          <t>Scrambler</t>
        </is>
      </c>
      <c r="L71" s="2" t="inlineStr">
        <is>
          <t>Ident A + Ident B + Foreign matter</t>
        </is>
      </c>
      <c r="M71" s="6" t="inlineStr">
        <is>
          <t>—</t>
        </is>
      </c>
      <c r="N71" s="2">
        <f>IFERROR(INDEX('CoQ Register'!$B:$B,MATCH("P060382|I",'CoQ Register'!$S:$S,0)),"—")</f>
        <v/>
      </c>
      <c r="O71" s="2" t="inlineStr">
        <is>
          <t>iCoA-PP-2026-0026</t>
        </is>
      </c>
      <c r="P71" s="2" t="inlineStr">
        <is>
          <t>P060382|I</t>
        </is>
      </c>
      <c r="Q71" s="7" t="inlineStr">
        <is>
          <t>registered — first working day 5 days after packaging</t>
        </is>
      </c>
    </row>
    <row r="72">
      <c r="A72" s="2">
        <f>IF(C72="yes",COUNT(A$1:A71)+1,"")</f>
        <v/>
      </c>
      <c r="B72" s="3">
        <f>IF(A72&lt;&gt;"","iCoA-PP_26-"&amp;TEXT(A72,"000"),IF(C72="n/a","not needed","— at issue —"))</f>
        <v/>
      </c>
      <c r="C72" s="2" t="inlineStr">
        <is>
          <t>n/a</t>
        </is>
      </c>
      <c r="D72" s="5">
        <f>IF(A72="","",IF(G72="legacy",DATE(2026,5,15),IF(ISNUMBER(F72),(F72+5)+CHOOSE(WEEKDAY(F72+5,2),0,0,0,0,0,2,1),"")))</f>
        <v/>
      </c>
      <c r="E72" s="5">
        <f>IFERROR(INDEX('Batch Dates'!$F:$F,MATCH(J72,'Batch Dates'!$C:$C,0)),IFERROR(INDEX('Batch Dates'!$F:$F,MATCH(I72,'Batch Dates'!$B:$B,0)),""))</f>
        <v/>
      </c>
      <c r="F72" s="5">
        <f>IFERROR(INDEX('Batch Dates'!$G:$G,MATCH(J72,'Batch Dates'!$C:$C,0)),IFERROR(INDEX('Batch Dates'!$G:$G,MATCH(I72,'Batch Dates'!$B:$B,0)),""))</f>
        <v/>
      </c>
      <c r="G72" s="2" t="inlineStr">
        <is>
          <t>post-SOP</t>
        </is>
      </c>
      <c r="H72" s="2" t="inlineStr">
        <is>
          <t>initial release</t>
        </is>
      </c>
      <c r="I72" s="3" t="inlineStr">
        <is>
          <t>FB012603V</t>
        </is>
      </c>
      <c r="J72" s="2" t="inlineStr">
        <is>
          <t>P060392</t>
        </is>
      </c>
      <c r="K72" s="2" t="inlineStr">
        <is>
          <t>Fat Bastard</t>
        </is>
      </c>
      <c r="L72" s="2" t="inlineStr">
        <is>
          <t>— all three on the CNP certificate —</t>
        </is>
      </c>
      <c r="M72" s="2" t="inlineStr">
        <is>
          <t>A: ППК26110 / B: ППК26110 / FM: ППК26110</t>
        </is>
      </c>
      <c r="N72" s="2">
        <f>IFERROR(INDEX('CoQ Register'!$B:$B,MATCH("P060392|I",'CoQ Register'!$S:$S,0)),"—")</f>
        <v/>
      </c>
      <c r="O72" s="6" t="inlineStr">
        <is>
          <t>—</t>
        </is>
      </c>
      <c r="P72" s="2" t="inlineStr">
        <is>
          <t>P060392|I</t>
        </is>
      </c>
      <c r="Q72" s="8" t="inlineStr">
        <is>
          <t>not needed — CNP covers A, B and foreign matter</t>
        </is>
      </c>
    </row>
    <row r="73">
      <c r="A73" s="2">
        <f>IF(C73="yes",COUNT(A$1:A72)+1,"")</f>
        <v/>
      </c>
      <c r="B73" s="3">
        <f>IF(A73&lt;&gt;"","iCoA-PP_26-"&amp;TEXT(A73,"000"),IF(C73="n/a","not needed","— at issue —"))</f>
        <v/>
      </c>
      <c r="C73" s="2" t="inlineStr">
        <is>
          <t>n/a</t>
        </is>
      </c>
      <c r="D73" s="5">
        <f>IF(A73="","",IF(G73="legacy",DATE(2026,5,15),IF(ISNUMBER(F73),(F73+5)+CHOOSE(WEEKDAY(F73+5,2),0,0,0,0,0,2,1),"")))</f>
        <v/>
      </c>
      <c r="E73" s="5">
        <f>IFERROR(INDEX('Batch Dates'!$F:$F,MATCH(J73,'Batch Dates'!$C:$C,0)),IFERROR(INDEX('Batch Dates'!$F:$F,MATCH(I73,'Batch Dates'!$B:$B,0)),""))</f>
        <v/>
      </c>
      <c r="F73" s="5">
        <f>IFERROR(INDEX('Batch Dates'!$G:$G,MATCH(J73,'Batch Dates'!$C:$C,0)),IFERROR(INDEX('Batch Dates'!$G:$G,MATCH(I73,'Batch Dates'!$B:$B,0)),""))</f>
        <v/>
      </c>
      <c r="G73" s="2" t="inlineStr">
        <is>
          <t>post-SOP</t>
        </is>
      </c>
      <c r="H73" s="2" t="inlineStr">
        <is>
          <t>initial release</t>
        </is>
      </c>
      <c r="I73" s="3" t="inlineStr">
        <is>
          <t>JD012603</t>
        </is>
      </c>
      <c r="J73" s="2" t="inlineStr">
        <is>
          <t>P060362</t>
        </is>
      </c>
      <c r="K73" s="2" t="inlineStr"/>
      <c r="L73" s="2" t="inlineStr">
        <is>
          <t>— all three on the CNP certificate —</t>
        </is>
      </c>
      <c r="M73" s="2" t="inlineStr">
        <is>
          <t>A: ППК26111 / B: ППК26111 / FM: ППК26111</t>
        </is>
      </c>
      <c r="N73" s="2">
        <f>IFERROR(INDEX('CoQ Register'!$B:$B,MATCH("P060362|I",'CoQ Register'!$S:$S,0)),"—")</f>
        <v/>
      </c>
      <c r="O73" s="2" t="inlineStr">
        <is>
          <t>iCoA-PP-2026-0020</t>
        </is>
      </c>
      <c r="P73" s="2" t="inlineStr">
        <is>
          <t>P060362|I</t>
        </is>
      </c>
      <c r="Q73" s="8" t="inlineStr">
        <is>
          <t>not needed — CNP covers A, B and foreign matter</t>
        </is>
      </c>
    </row>
    <row r="74">
      <c r="A74" s="2">
        <f>IF(C74="yes",COUNT(A$1:A73)+1,"")</f>
        <v/>
      </c>
      <c r="B74" s="3">
        <f>IF(A74&lt;&gt;"","iCoA-PP_26-"&amp;TEXT(A74,"000"),IF(C74="n/a","not needed","— at issue —"))</f>
        <v/>
      </c>
      <c r="C74" s="2" t="inlineStr">
        <is>
          <t>n/a</t>
        </is>
      </c>
      <c r="D74" s="5">
        <f>IF(A74="","",IF(G74="legacy",DATE(2026,5,15),IF(ISNUMBER(F74),(F74+5)+CHOOSE(WEEKDAY(F74+5,2),0,0,0,0,0,2,1),"")))</f>
        <v/>
      </c>
      <c r="E74" s="5">
        <f>IFERROR(INDEX('Batch Dates'!$F:$F,MATCH(J74,'Batch Dates'!$C:$C,0)),IFERROR(INDEX('Batch Dates'!$F:$F,MATCH(I74,'Batch Dates'!$B:$B,0)),""))</f>
        <v/>
      </c>
      <c r="F74" s="5">
        <f>IFERROR(INDEX('Batch Dates'!$G:$G,MATCH(J74,'Batch Dates'!$C:$C,0)),IFERROR(INDEX('Batch Dates'!$G:$G,MATCH(I74,'Batch Dates'!$B:$B,0)),""))</f>
        <v/>
      </c>
      <c r="G74" s="2" t="inlineStr">
        <is>
          <t>post-SOP</t>
        </is>
      </c>
      <c r="H74" s="2" t="inlineStr">
        <is>
          <t>initial release</t>
        </is>
      </c>
      <c r="I74" s="3" t="inlineStr">
        <is>
          <t>JD012603</t>
        </is>
      </c>
      <c r="J74" s="2" t="inlineStr">
        <is>
          <t>P060422</t>
        </is>
      </c>
      <c r="K74" s="2" t="inlineStr"/>
      <c r="L74" s="2" t="inlineStr">
        <is>
          <t>— all three on the CNP certificate —</t>
        </is>
      </c>
      <c r="M74" s="2" t="inlineStr">
        <is>
          <t>A: ППК26111 / B: ППК26111 / FM: ППК26111</t>
        </is>
      </c>
      <c r="N74" s="2">
        <f>IFERROR(INDEX('CoQ Register'!$B:$B,MATCH("P060422|I",'CoQ Register'!$S:$S,0)),"—")</f>
        <v/>
      </c>
      <c r="O74" s="2" t="inlineStr">
        <is>
          <t>iCoA-PP-2026-0022</t>
        </is>
      </c>
      <c r="P74" s="2" t="inlineStr">
        <is>
          <t>P060422|I</t>
        </is>
      </c>
      <c r="Q74" s="8" t="inlineStr">
        <is>
          <t>not needed — CNP covers A, B and foreign matter</t>
        </is>
      </c>
    </row>
    <row r="75">
      <c r="A75" s="2">
        <f>IF(C75="yes",COUNT(A$1:A74)+1,"")</f>
        <v/>
      </c>
      <c r="B75" s="3">
        <f>IF(A75&lt;&gt;"","iCoA-PP_26-"&amp;TEXT(A75,"000"),IF(C75="n/a","not needed","— at issue —"))</f>
        <v/>
      </c>
      <c r="C75" s="2" t="inlineStr">
        <is>
          <t>n/a</t>
        </is>
      </c>
      <c r="D75" s="5">
        <f>IF(A75="","",IF(G75="legacy",DATE(2026,5,15),IF(ISNUMBER(F75),(F75+5)+CHOOSE(WEEKDAY(F75+5,2),0,0,0,0,0,2,1),"")))</f>
        <v/>
      </c>
      <c r="E75" s="5">
        <f>IFERROR(INDEX('Batch Dates'!$F:$F,MATCH(J75,'Batch Dates'!$C:$C,0)),IFERROR(INDEX('Batch Dates'!$F:$F,MATCH(I75,'Batch Dates'!$B:$B,0)),""))</f>
        <v/>
      </c>
      <c r="F75" s="5">
        <f>IFERROR(INDEX('Batch Dates'!$G:$G,MATCH(J75,'Batch Dates'!$C:$C,0)),IFERROR(INDEX('Batch Dates'!$G:$G,MATCH(I75,'Batch Dates'!$B:$B,0)),""))</f>
        <v/>
      </c>
      <c r="G75" s="2" t="inlineStr">
        <is>
          <t>post-SOP</t>
        </is>
      </c>
      <c r="H75" s="2" t="inlineStr">
        <is>
          <t>initial release</t>
        </is>
      </c>
      <c r="I75" s="3" t="inlineStr">
        <is>
          <t>GG012603</t>
        </is>
      </c>
      <c r="J75" s="2" t="inlineStr">
        <is>
          <t>P060402</t>
        </is>
      </c>
      <c r="K75" s="2" t="inlineStr">
        <is>
          <t>GorillaGlue</t>
        </is>
      </c>
      <c r="L75" s="2" t="inlineStr">
        <is>
          <t>— all three on the CNP certificate —</t>
        </is>
      </c>
      <c r="M75" s="2" t="inlineStr">
        <is>
          <t>A: ППК26114 / B: ППК26114 / FM: ППК26114</t>
        </is>
      </c>
      <c r="N75" s="2">
        <f>IFERROR(INDEX('CoQ Register'!$B:$B,MATCH("P060402|I",'CoQ Register'!$S:$S,0)),"—")</f>
        <v/>
      </c>
      <c r="O75" s="2" t="inlineStr">
        <is>
          <t>iCoA-PP-2026-0023</t>
        </is>
      </c>
      <c r="P75" s="2" t="inlineStr">
        <is>
          <t>P060402|I</t>
        </is>
      </c>
      <c r="Q75" s="8" t="inlineStr">
        <is>
          <t>not needed — CNP covers A, B and foreign matter</t>
        </is>
      </c>
    </row>
    <row r="76">
      <c r="A76" s="2">
        <f>IF(C76="yes",COUNT(A$1:A75)+1,"")</f>
        <v/>
      </c>
      <c r="B76" s="3">
        <f>IF(A76&lt;&gt;"","iCoA-PP_26-"&amp;TEXT(A76,"000"),IF(C76="n/a","not needed","— at issue —"))</f>
        <v/>
      </c>
      <c r="C76" s="2" t="inlineStr">
        <is>
          <t>n/a</t>
        </is>
      </c>
      <c r="D76" s="5">
        <f>IF(A76="","",IF(G76="legacy",DATE(2026,5,15),IF(ISNUMBER(F76),(F76+5)+CHOOSE(WEEKDAY(F76+5,2),0,0,0,0,0,2,1),"")))</f>
        <v/>
      </c>
      <c r="E76" s="5">
        <f>IFERROR(INDEX('Batch Dates'!$F:$F,MATCH(J76,'Batch Dates'!$C:$C,0)),IFERROR(INDEX('Batch Dates'!$F:$F,MATCH(I76,'Batch Dates'!$B:$B,0)),""))</f>
        <v/>
      </c>
      <c r="F76" s="5">
        <f>IFERROR(INDEX('Batch Dates'!$G:$G,MATCH(J76,'Batch Dates'!$C:$C,0)),IFERROR(INDEX('Batch Dates'!$G:$G,MATCH(I76,'Batch Dates'!$B:$B,0)),""))</f>
        <v/>
      </c>
      <c r="G76" s="2" t="inlineStr">
        <is>
          <t>post-SOP</t>
        </is>
      </c>
      <c r="H76" s="2" t="inlineStr">
        <is>
          <t>initial release</t>
        </is>
      </c>
      <c r="I76" s="3" t="inlineStr">
        <is>
          <t>JD012603</t>
        </is>
      </c>
      <c r="J76" s="2" t="inlineStr">
        <is>
          <t>P060412</t>
        </is>
      </c>
      <c r="K76" s="2" t="inlineStr"/>
      <c r="L76" s="2" t="inlineStr">
        <is>
          <t>— all three on the CNP certificate —</t>
        </is>
      </c>
      <c r="M76" s="2" t="inlineStr">
        <is>
          <t>A: ППК26111 / B: ППК26111 / FM: ППК26111</t>
        </is>
      </c>
      <c r="N76" s="2">
        <f>IFERROR(INDEX('CoQ Register'!$B:$B,MATCH("P060412|I",'CoQ Register'!$S:$S,0)),"—")</f>
        <v/>
      </c>
      <c r="O76" s="2" t="inlineStr">
        <is>
          <t>iCoA-PP-2026-0025</t>
        </is>
      </c>
      <c r="P76" s="2" t="inlineStr">
        <is>
          <t>P060412|I</t>
        </is>
      </c>
      <c r="Q76" s="8" t="inlineStr">
        <is>
          <t>not needed — CNP covers A, B and foreign matter</t>
        </is>
      </c>
    </row>
    <row r="77">
      <c r="A77" s="2">
        <f>IF(C77="yes",COUNT(A$1:A76)+1,"")</f>
        <v/>
      </c>
      <c r="B77" s="3">
        <f>IF(A77&lt;&gt;"","iCoA-PP_26-"&amp;TEXT(A77,"000"),IF(C77="n/a","not needed","— at issue —"))</f>
        <v/>
      </c>
      <c r="C77" s="2" t="inlineStr">
        <is>
          <t>n/a</t>
        </is>
      </c>
      <c r="D77" s="5">
        <f>IF(A77="","",IF(G77="legacy",DATE(2026,5,15),IF(ISNUMBER(F77),(F77+5)+CHOOSE(WEEKDAY(F77+5,2),0,0,0,0,0,2,1),"")))</f>
        <v/>
      </c>
      <c r="E77" s="5">
        <f>IFERROR(INDEX('Batch Dates'!$F:$F,MATCH(J77,'Batch Dates'!$C:$C,0)),IFERROR(INDEX('Batch Dates'!$F:$F,MATCH(I77,'Batch Dates'!$B:$B,0)),""))</f>
        <v/>
      </c>
      <c r="F77" s="5">
        <f>IFERROR(INDEX('Batch Dates'!$G:$G,MATCH(J77,'Batch Dates'!$C:$C,0)),IFERROR(INDEX('Batch Dates'!$G:$G,MATCH(I77,'Batch Dates'!$B:$B,0)),""))</f>
        <v/>
      </c>
      <c r="G77" s="2" t="inlineStr">
        <is>
          <t>post-SOP</t>
        </is>
      </c>
      <c r="H77" s="2" t="inlineStr">
        <is>
          <t>initial release</t>
        </is>
      </c>
      <c r="I77" s="3" t="inlineStr">
        <is>
          <t>FB012603</t>
        </is>
      </c>
      <c r="J77" s="2" t="inlineStr">
        <is>
          <t>P060432</t>
        </is>
      </c>
      <c r="K77" s="2" t="inlineStr">
        <is>
          <t>Fat Bastard</t>
        </is>
      </c>
      <c r="L77" s="2" t="inlineStr">
        <is>
          <t>— all three on the CNP certificate —</t>
        </is>
      </c>
      <c r="M77" s="2" t="inlineStr">
        <is>
          <t>A: ППК26112 / B: ППК26112 / FM: ППК26112</t>
        </is>
      </c>
      <c r="N77" s="2">
        <f>IFERROR(INDEX('CoQ Register'!$B:$B,MATCH("P060432|I",'CoQ Register'!$S:$S,0)),"—")</f>
        <v/>
      </c>
      <c r="O77" s="6" t="inlineStr">
        <is>
          <t>—</t>
        </is>
      </c>
      <c r="P77" s="2" t="inlineStr">
        <is>
          <t>P060432|I</t>
        </is>
      </c>
      <c r="Q77" s="8" t="inlineStr">
        <is>
          <t>not needed — CNP covers A, B and foreign matter</t>
        </is>
      </c>
    </row>
    <row r="78">
      <c r="A78" s="2">
        <f>IF(C78="yes",COUNT(A$1:A77)+1,"")</f>
        <v/>
      </c>
      <c r="B78" s="3">
        <f>IF(A78&lt;&gt;"","iCoA-PP_26-"&amp;TEXT(A78,"000"),IF(C78="n/a","not needed","— at issue —"))</f>
        <v/>
      </c>
      <c r="C78" s="2" t="inlineStr">
        <is>
          <t>n/a</t>
        </is>
      </c>
      <c r="D78" s="5">
        <f>IF(A78="","",IF(G78="legacy",DATE(2026,5,15),IF(ISNUMBER(F78),(F78+5)+CHOOSE(WEEKDAY(F78+5,2),0,0,0,0,0,2,1),"")))</f>
        <v/>
      </c>
      <c r="E78" s="5">
        <f>IFERROR(INDEX('Batch Dates'!$F:$F,MATCH(J78,'Batch Dates'!$C:$C,0)),IFERROR(INDEX('Batch Dates'!$F:$F,MATCH(I78,'Batch Dates'!$B:$B,0)),""))</f>
        <v/>
      </c>
      <c r="F78" s="5">
        <f>IFERROR(INDEX('Batch Dates'!$G:$G,MATCH(J78,'Batch Dates'!$C:$C,0)),IFERROR(INDEX('Batch Dates'!$G:$G,MATCH(I78,'Batch Dates'!$B:$B,0)),""))</f>
        <v/>
      </c>
      <c r="G78" s="2" t="inlineStr">
        <is>
          <t>post-SOP</t>
        </is>
      </c>
      <c r="H78" s="2" t="inlineStr">
        <is>
          <t>initial release</t>
        </is>
      </c>
      <c r="I78" s="3" t="inlineStr">
        <is>
          <t>SCR022601</t>
        </is>
      </c>
      <c r="J78" s="2" t="inlineStr">
        <is>
          <t>P060442</t>
        </is>
      </c>
      <c r="K78" s="2" t="inlineStr">
        <is>
          <t>Scrambler</t>
        </is>
      </c>
      <c r="L78" s="2" t="inlineStr">
        <is>
          <t>— all three on the CNP certificate —</t>
        </is>
      </c>
      <c r="M78" s="2" t="inlineStr">
        <is>
          <t>A: ППК26116 / B: ППК26116 / FM: ППК26116</t>
        </is>
      </c>
      <c r="N78" s="2">
        <f>IFERROR(INDEX('CoQ Register'!$B:$B,MATCH("P060442|I",'CoQ Register'!$S:$S,0)),"—")</f>
        <v/>
      </c>
      <c r="O78" s="6" t="inlineStr">
        <is>
          <t>—</t>
        </is>
      </c>
      <c r="P78" s="2" t="inlineStr">
        <is>
          <t>P060442|I</t>
        </is>
      </c>
      <c r="Q78" s="8" t="inlineStr">
        <is>
          <t>not needed — CNP covers A, B and foreign matter</t>
        </is>
      </c>
    </row>
    <row r="79">
      <c r="A79" s="2">
        <f>IF(C79="yes",COUNT(A$1:A78)+1,"")</f>
        <v/>
      </c>
      <c r="B79" s="3">
        <f>IF(A79&lt;&gt;"","iCoA-PP_26-"&amp;TEXT(A79,"000"),IF(C79="n/a","not needed","— at issue —"))</f>
        <v/>
      </c>
      <c r="C79" s="2" t="inlineStr">
        <is>
          <t>n/a</t>
        </is>
      </c>
      <c r="D79" s="5">
        <f>IF(A79="","",IF(G79="legacy",DATE(2026,5,15),IF(ISNUMBER(F79),(F79+5)+CHOOSE(WEEKDAY(F79+5,2),0,0,0,0,0,2,1),"")))</f>
        <v/>
      </c>
      <c r="E79" s="5">
        <f>IFERROR(INDEX('Batch Dates'!$F:$F,MATCH(J79,'Batch Dates'!$C:$C,0)),IFERROR(INDEX('Batch Dates'!$F:$F,MATCH(I79,'Batch Dates'!$B:$B,0)),""))</f>
        <v/>
      </c>
      <c r="F79" s="5">
        <f>IFERROR(INDEX('Batch Dates'!$G:$G,MATCH(J79,'Batch Dates'!$C:$C,0)),IFERROR(INDEX('Batch Dates'!$G:$G,MATCH(I79,'Batch Dates'!$B:$B,0)),""))</f>
        <v/>
      </c>
      <c r="G79" s="2" t="inlineStr">
        <is>
          <t>post-SOP</t>
        </is>
      </c>
      <c r="H79" s="2" t="inlineStr">
        <is>
          <t>initial release</t>
        </is>
      </c>
      <c r="I79" s="3" t="inlineStr">
        <is>
          <t>FB032601</t>
        </is>
      </c>
      <c r="J79" s="2" t="inlineStr">
        <is>
          <t>P060452</t>
        </is>
      </c>
      <c r="K79" s="2" t="inlineStr">
        <is>
          <t>FatBastard</t>
        </is>
      </c>
      <c r="L79" s="2" t="inlineStr">
        <is>
          <t>— all three on the CNP certificate —</t>
        </is>
      </c>
      <c r="M79" s="2" t="inlineStr">
        <is>
          <t>A: ППК26127 / B: ППК26127 / FM: ППК26127</t>
        </is>
      </c>
      <c r="N79" s="2">
        <f>IFERROR(INDEX('CoQ Register'!$B:$B,MATCH("P060452|I",'CoQ Register'!$S:$S,0)),"—")</f>
        <v/>
      </c>
      <c r="O79" s="6" t="inlineStr">
        <is>
          <t>—</t>
        </is>
      </c>
      <c r="P79" s="2" t="inlineStr">
        <is>
          <t>P060452|I</t>
        </is>
      </c>
      <c r="Q79" s="8" t="inlineStr">
        <is>
          <t>not needed — CNP covers A, B and foreign matter</t>
        </is>
      </c>
    </row>
    <row r="80">
      <c r="A80" s="2">
        <f>IF(C80="yes",COUNT(A$1:A79)+1,"")</f>
        <v/>
      </c>
      <c r="B80" s="3">
        <f>IF(A80&lt;&gt;"","iCoA-PP_26-"&amp;TEXT(A80,"000"),IF(C80="n/a","not needed","— at issue —"))</f>
        <v/>
      </c>
      <c r="C80" s="2" t="inlineStr">
        <is>
          <t>n/a</t>
        </is>
      </c>
      <c r="D80" s="5">
        <f>IF(A80="","",IF(G80="legacy",DATE(2026,5,15),IF(ISNUMBER(F80),(F80+5)+CHOOSE(WEEKDAY(F80+5,2),0,0,0,0,0,2,1),"")))</f>
        <v/>
      </c>
      <c r="E80" s="5">
        <f>IFERROR(INDEX('Batch Dates'!$F:$F,MATCH(J80,'Batch Dates'!$C:$C,0)),IFERROR(INDEX('Batch Dates'!$F:$F,MATCH(I80,'Batch Dates'!$B:$B,0)),""))</f>
        <v/>
      </c>
      <c r="F80" s="5">
        <f>IFERROR(INDEX('Batch Dates'!$G:$G,MATCH(J80,'Batch Dates'!$C:$C,0)),IFERROR(INDEX('Batch Dates'!$G:$G,MATCH(I80,'Batch Dates'!$B:$B,0)),""))</f>
        <v/>
      </c>
      <c r="G80" s="2" t="inlineStr">
        <is>
          <t>post-SOP</t>
        </is>
      </c>
      <c r="H80" s="2" t="inlineStr">
        <is>
          <t>initial release</t>
        </is>
      </c>
      <c r="I80" s="3" t="inlineStr">
        <is>
          <t>GG032601</t>
        </is>
      </c>
      <c r="J80" s="2" t="inlineStr">
        <is>
          <t>P060462</t>
        </is>
      </c>
      <c r="K80" s="2" t="inlineStr">
        <is>
          <t>GorillaGlue</t>
        </is>
      </c>
      <c r="L80" s="2" t="inlineStr">
        <is>
          <t>— all three on the CNP certificate —</t>
        </is>
      </c>
      <c r="M80" s="2" t="inlineStr">
        <is>
          <t>A: ППК26128 / B: ППК26128 / FM: ППК26128</t>
        </is>
      </c>
      <c r="N80" s="2">
        <f>IFERROR(INDEX('CoQ Register'!$B:$B,MATCH("P060462|I",'CoQ Register'!$S:$S,0)),"—")</f>
        <v/>
      </c>
      <c r="O80" s="6" t="inlineStr">
        <is>
          <t>—</t>
        </is>
      </c>
      <c r="P80" s="2" t="inlineStr">
        <is>
          <t>P060462|I</t>
        </is>
      </c>
      <c r="Q80" s="8" t="inlineStr">
        <is>
          <t>not needed — CNP covers A, B and foreign matter</t>
        </is>
      </c>
    </row>
    <row r="81">
      <c r="A81" s="2">
        <f>IF(C81="yes",COUNT(A$1:A80)+1,"")</f>
        <v/>
      </c>
      <c r="B81" s="3">
        <f>IF(A81&lt;&gt;"","iCoA-PP_26-"&amp;TEXT(A81,"000"),IF(C81="n/a","not needed","— at issue —"))</f>
        <v/>
      </c>
      <c r="C81" s="2" t="inlineStr">
        <is>
          <t>n/a</t>
        </is>
      </c>
      <c r="D81" s="5">
        <f>IF(A81="","",IF(G81="legacy",DATE(2026,5,15),IF(ISNUMBER(F81),(F81+5)+CHOOSE(WEEKDAY(F81+5,2),0,0,0,0,0,2,1),"")))</f>
        <v/>
      </c>
      <c r="E81" s="5">
        <f>IFERROR(INDEX('Batch Dates'!$F:$F,MATCH(J81,'Batch Dates'!$C:$C,0)),IFERROR(INDEX('Batch Dates'!$F:$F,MATCH(I81,'Batch Dates'!$B:$B,0)),""))</f>
        <v/>
      </c>
      <c r="F81" s="5">
        <f>IFERROR(INDEX('Batch Dates'!$G:$G,MATCH(J81,'Batch Dates'!$C:$C,0)),IFERROR(INDEX('Batch Dates'!$G:$G,MATCH(I81,'Batch Dates'!$B:$B,0)),""))</f>
        <v/>
      </c>
      <c r="G81" s="2" t="inlineStr">
        <is>
          <t>post-SOP</t>
        </is>
      </c>
      <c r="H81" s="2" t="inlineStr">
        <is>
          <t>initial release</t>
        </is>
      </c>
      <c r="I81" s="3" t="inlineStr">
        <is>
          <t>JD022601</t>
        </is>
      </c>
      <c r="J81" s="2" t="inlineStr">
        <is>
          <t>P060482</t>
        </is>
      </c>
      <c r="K81" s="2" t="inlineStr">
        <is>
          <t>JellyDonutz</t>
        </is>
      </c>
      <c r="L81" s="2" t="inlineStr">
        <is>
          <t>— all three on the CNP certificate —</t>
        </is>
      </c>
      <c r="M81" s="2" t="inlineStr">
        <is>
          <t>A: ППК26115 / B: ППК26115 / FM: ППК26115</t>
        </is>
      </c>
      <c r="N81" s="2">
        <f>IFERROR(INDEX('CoQ Register'!$B:$B,MATCH("P060482|I",'CoQ Register'!$S:$S,0)),"—")</f>
        <v/>
      </c>
      <c r="O81" s="6" t="inlineStr">
        <is>
          <t>—</t>
        </is>
      </c>
      <c r="P81" s="2" t="inlineStr">
        <is>
          <t>P060482|I</t>
        </is>
      </c>
      <c r="Q81" s="8" t="inlineStr">
        <is>
          <t>not needed — CNP covers A, B and foreign matter</t>
        </is>
      </c>
    </row>
    <row r="82">
      <c r="A82" s="2">
        <f>IF(C82="yes",COUNT(A$1:A81)+1,"")</f>
        <v/>
      </c>
      <c r="B82" s="3">
        <f>IF(A82&lt;&gt;"","iCoA-PP_26-"&amp;TEXT(A82,"000"),IF(C82="n/a","not needed","— at issue —"))</f>
        <v/>
      </c>
      <c r="C82" s="2" t="inlineStr">
        <is>
          <t>n/a</t>
        </is>
      </c>
      <c r="D82" s="5">
        <f>IF(A82="","",IF(G82="legacy",DATE(2026,5,15),IF(ISNUMBER(F82),(F82+5)+CHOOSE(WEEKDAY(F82+5,2),0,0,0,0,0,2,1),"")))</f>
        <v/>
      </c>
      <c r="E82" s="5">
        <f>IFERROR(INDEX('Batch Dates'!$F:$F,MATCH(J82,'Batch Dates'!$C:$C,0)),IFERROR(INDEX('Batch Dates'!$F:$F,MATCH(I82,'Batch Dates'!$B:$B,0)),""))</f>
        <v/>
      </c>
      <c r="F82" s="5">
        <f>IFERROR(INDEX('Batch Dates'!$G:$G,MATCH(J82,'Batch Dates'!$C:$C,0)),IFERROR(INDEX('Batch Dates'!$G:$G,MATCH(I82,'Batch Dates'!$B:$B,0)),""))</f>
        <v/>
      </c>
      <c r="G82" s="2" t="inlineStr">
        <is>
          <t>—</t>
        </is>
      </c>
      <c r="H82" s="2" t="inlineStr">
        <is>
          <t>initial release</t>
        </is>
      </c>
      <c r="I82" s="3" t="inlineStr">
        <is>
          <t>— not recorded —</t>
        </is>
      </c>
      <c r="J82" s="2" t="inlineStr">
        <is>
          <t>P160012</t>
        </is>
      </c>
      <c r="K82" s="2" t="inlineStr"/>
      <c r="L82" s="2" t="inlineStr">
        <is>
          <t>— all three on the CNP certificate —</t>
        </is>
      </c>
      <c r="M82" s="2" t="inlineStr">
        <is>
          <t>A: ППК26117 / B: ППК26117 / FM: ППК26117</t>
        </is>
      </c>
      <c r="N82" s="2">
        <f>IFERROR(INDEX('CoQ Register'!$B:$B,MATCH("— not recorded —|I",'CoQ Register'!$S:$S,0)),"—")</f>
        <v/>
      </c>
      <c r="O82" s="6" t="inlineStr">
        <is>
          <t>—</t>
        </is>
      </c>
      <c r="P82" s="2" t="inlineStr">
        <is>
          <t>— not recorded —|I</t>
        </is>
      </c>
      <c r="Q82" s="8" t="inlineStr">
        <is>
          <t>not needed — CNP covers A, B and foreign matter</t>
        </is>
      </c>
    </row>
    <row r="83">
      <c r="A83" s="2">
        <f>IF(C83="yes",COUNT(A$1:A82)+1,"")</f>
        <v/>
      </c>
      <c r="B83" s="3">
        <f>IF(A83&lt;&gt;"","iCoA-PP_26-"&amp;TEXT(A83,"000"),IF(C83="n/a","not needed","— at issue —"))</f>
        <v/>
      </c>
      <c r="C83" s="2" t="inlineStr">
        <is>
          <t>n/a</t>
        </is>
      </c>
      <c r="D83" s="5">
        <f>IF(A83="","",IF(G83="legacy",DATE(2026,5,15),IF(ISNUMBER(F83),(F83+5)+CHOOSE(WEEKDAY(F83+5,2),0,0,0,0,0,2,1),"")))</f>
        <v/>
      </c>
      <c r="E83" s="5">
        <f>IFERROR(INDEX('Batch Dates'!$F:$F,MATCH(J83,'Batch Dates'!$C:$C,0)),IFERROR(INDEX('Batch Dates'!$F:$F,MATCH(I83,'Batch Dates'!$B:$B,0)),""))</f>
        <v/>
      </c>
      <c r="F83" s="5">
        <f>IFERROR(INDEX('Batch Dates'!$G:$G,MATCH(J83,'Batch Dates'!$C:$C,0)),IFERROR(INDEX('Batch Dates'!$G:$G,MATCH(I83,'Batch Dates'!$B:$B,0)),""))</f>
        <v/>
      </c>
      <c r="G83" s="2" t="inlineStr">
        <is>
          <t>—</t>
        </is>
      </c>
      <c r="H83" s="2" t="inlineStr">
        <is>
          <t>initial release</t>
        </is>
      </c>
      <c r="I83" s="3" t="inlineStr">
        <is>
          <t>— not recorded —</t>
        </is>
      </c>
      <c r="J83" s="2" t="inlineStr">
        <is>
          <t>P160022</t>
        </is>
      </c>
      <c r="K83" s="2" t="inlineStr"/>
      <c r="L83" s="2" t="inlineStr">
        <is>
          <t>— all three on the CNP certificate —</t>
        </is>
      </c>
      <c r="M83" s="2" t="inlineStr">
        <is>
          <t>A: ППК26118 / B: ППК26118 / FM: ППК26118</t>
        </is>
      </c>
      <c r="N83" s="2">
        <f>IFERROR(INDEX('CoQ Register'!$B:$B,MATCH("— not recorded —|I",'CoQ Register'!$S:$S,0)),"—")</f>
        <v/>
      </c>
      <c r="O83" s="6" t="inlineStr">
        <is>
          <t>—</t>
        </is>
      </c>
      <c r="P83" s="2" t="inlineStr">
        <is>
          <t>— not recorded —|I</t>
        </is>
      </c>
      <c r="Q83" s="8" t="inlineStr">
        <is>
          <t>not needed — CNP covers A, B and foreign matter</t>
        </is>
      </c>
    </row>
    <row r="84">
      <c r="A84" s="2">
        <f>IF(C84="yes",COUNT(A$1:A83)+1,"")</f>
        <v/>
      </c>
      <c r="B84" s="3">
        <f>IF(A84&lt;&gt;"","iCoA-PP_26-"&amp;TEXT(A84,"000"),IF(C84="n/a","not needed","— at issue —"))</f>
        <v/>
      </c>
      <c r="C84" s="2" t="inlineStr">
        <is>
          <t>n/a</t>
        </is>
      </c>
      <c r="D84" s="5">
        <f>IF(A84="","",IF(G84="legacy",DATE(2026,5,15),IF(ISNUMBER(F84),(F84+5)+CHOOSE(WEEKDAY(F84+5,2),0,0,0,0,0,2,1),"")))</f>
        <v/>
      </c>
      <c r="E84" s="5">
        <f>IFERROR(INDEX('Batch Dates'!$F:$F,MATCH(J84,'Batch Dates'!$C:$C,0)),IFERROR(INDEX('Batch Dates'!$F:$F,MATCH(I84,'Batch Dates'!$B:$B,0)),""))</f>
        <v/>
      </c>
      <c r="F84" s="5">
        <f>IFERROR(INDEX('Batch Dates'!$G:$G,MATCH(J84,'Batch Dates'!$C:$C,0)),IFERROR(INDEX('Batch Dates'!$G:$G,MATCH(I84,'Batch Dates'!$B:$B,0)),""))</f>
        <v/>
      </c>
      <c r="G84" s="2" t="inlineStr">
        <is>
          <t>—</t>
        </is>
      </c>
      <c r="H84" s="2" t="inlineStr">
        <is>
          <t>initial release</t>
        </is>
      </c>
      <c r="I84" s="3" t="inlineStr">
        <is>
          <t>— not recorded —</t>
        </is>
      </c>
      <c r="J84" s="2" t="inlineStr">
        <is>
          <t>P160032</t>
        </is>
      </c>
      <c r="K84" s="2" t="inlineStr"/>
      <c r="L84" s="2" t="inlineStr">
        <is>
          <t>— all three on the CNP certificate —</t>
        </is>
      </c>
      <c r="M84" s="2" t="inlineStr">
        <is>
          <t>A: ППК26119 / B: ППК26119 / FM: ППК26119</t>
        </is>
      </c>
      <c r="N84" s="2">
        <f>IFERROR(INDEX('CoQ Register'!$B:$B,MATCH("— not recorded —|I",'CoQ Register'!$S:$S,0)),"—")</f>
        <v/>
      </c>
      <c r="O84" s="6" t="inlineStr">
        <is>
          <t>—</t>
        </is>
      </c>
      <c r="P84" s="2" t="inlineStr">
        <is>
          <t>— not recorded —|I</t>
        </is>
      </c>
      <c r="Q84" s="8" t="inlineStr">
        <is>
          <t>not needed — CNP covers A, B and foreign matter</t>
        </is>
      </c>
    </row>
    <row r="85">
      <c r="A85" s="2">
        <f>IF(C85="yes",COUNT(A$1:A84)+1,"")</f>
        <v/>
      </c>
      <c r="B85" s="3">
        <f>IF(A85&lt;&gt;"","iCoA-PP_26-"&amp;TEXT(A85,"000"),IF(C85="n/a","not needed","— at issue —"))</f>
        <v/>
      </c>
      <c r="C85" s="6" t="inlineStr">
        <is>
          <t>no</t>
        </is>
      </c>
      <c r="D85" s="5">
        <f>IF(A85="","",IF(G85="legacy",DATE(2026,5,15),IF(ISNUMBER(F85),(F85+5)+CHOOSE(WEEKDAY(F85+5,2),0,0,0,0,0,2,1),"")))</f>
        <v/>
      </c>
      <c r="E85" s="5" t="inlineStr">
        <is>
          <t>at retest sampling</t>
        </is>
      </c>
      <c r="F85" s="5">
        <f>IFERROR(INDEX('Batch Dates'!$G:$G,MATCH(J85,'Batch Dates'!$C:$C,0)),IFERROR(INDEX('Batch Dates'!$G:$G,MATCH(I85,'Batch Dates'!$B:$B,0)),""))</f>
        <v/>
      </c>
      <c r="G85" s="2" t="inlineStr">
        <is>
          <t>legacy</t>
        </is>
      </c>
      <c r="H85" s="2" t="inlineStr">
        <is>
          <t>retest — Tranche 1 (sampled July 2026)</t>
        </is>
      </c>
      <c r="I85" s="3" t="inlineStr">
        <is>
          <t>BSS1024</t>
        </is>
      </c>
      <c r="J85" s="2" t="inlineStr">
        <is>
          <t>N/A — no P batch assigned</t>
        </is>
      </c>
      <c r="K85" s="2" t="inlineStr">
        <is>
          <t>Blue Sunset Sherbet</t>
        </is>
      </c>
      <c r="L85" s="2" t="inlineStr">
        <is>
          <t>Ident A + Ident B + Foreign matter</t>
        </is>
      </c>
      <c r="M85" s="6" t="inlineStr">
        <is>
          <t>—</t>
        </is>
      </c>
      <c r="N85" s="2">
        <f>IFERROR(INDEX('CoQ Register'!$B:$B,MATCH("BSS1024|R",'CoQ Register'!$S:$S,0)),"—")</f>
        <v/>
      </c>
      <c r="O85" s="6" t="inlineStr">
        <is>
          <t>—</t>
        </is>
      </c>
      <c r="P85" s="2" t="inlineStr">
        <is>
          <t>BSS1024|R</t>
        </is>
      </c>
      <c r="Q85" s="9" t="inlineStr">
        <is>
          <t>not yet issuable — retest assay on file; identification A, B and foreign matter to test at the retest sampling</t>
        </is>
      </c>
    </row>
    <row r="86">
      <c r="A86" s="2">
        <f>IF(C86="yes",COUNT(A$1:A85)+1,"")</f>
        <v/>
      </c>
      <c r="B86" s="3">
        <f>IF(A86&lt;&gt;"","iCoA-PP_26-"&amp;TEXT(A86,"000"),IF(C86="n/a","not needed","— at issue —"))</f>
        <v/>
      </c>
      <c r="C86" s="6" t="inlineStr">
        <is>
          <t>no</t>
        </is>
      </c>
      <c r="D86" s="5">
        <f>IF(A86="","",IF(G86="legacy",DATE(2026,5,15),IF(ISNUMBER(F86),(F86+5)+CHOOSE(WEEKDAY(F86+5,2),0,0,0,0,0,2,1),"")))</f>
        <v/>
      </c>
      <c r="E86" s="5" t="inlineStr">
        <is>
          <t>at retest sampling</t>
        </is>
      </c>
      <c r="F86" s="5">
        <f>IFERROR(INDEX('Batch Dates'!$G:$G,MATCH(J86,'Batch Dates'!$C:$C,0)),IFERROR(INDEX('Batch Dates'!$G:$G,MATCH(I86,'Batch Dates'!$B:$B,0)),""))</f>
        <v/>
      </c>
      <c r="G86" s="2" t="inlineStr">
        <is>
          <t>legacy</t>
        </is>
      </c>
      <c r="H86" s="2" t="inlineStr">
        <is>
          <t>retest — Tranche 1 (sampled July 2026)</t>
        </is>
      </c>
      <c r="I86" s="3" t="inlineStr">
        <is>
          <t>BG1024</t>
        </is>
      </c>
      <c r="J86" s="2" t="inlineStr">
        <is>
          <t>N/A — no P batch assigned</t>
        </is>
      </c>
      <c r="K86" s="2" t="inlineStr">
        <is>
          <t>Blue Gelato</t>
        </is>
      </c>
      <c r="L86" s="2" t="inlineStr">
        <is>
          <t>Ident A + Ident B + Foreign matter</t>
        </is>
      </c>
      <c r="M86" s="6" t="inlineStr">
        <is>
          <t>—</t>
        </is>
      </c>
      <c r="N86" s="2">
        <f>IFERROR(INDEX('CoQ Register'!$B:$B,MATCH("BG1024|R",'CoQ Register'!$S:$S,0)),"—")</f>
        <v/>
      </c>
      <c r="O86" s="6" t="inlineStr">
        <is>
          <t>—</t>
        </is>
      </c>
      <c r="P86" s="2" t="inlineStr">
        <is>
          <t>BG1024|R</t>
        </is>
      </c>
      <c r="Q86" s="9" t="inlineStr">
        <is>
          <t>not yet issuable — retest assay on file; identification A, B and foreign matter to test at the retest sampling</t>
        </is>
      </c>
    </row>
    <row r="87">
      <c r="A87" s="2">
        <f>IF(C87="yes",COUNT(A$1:A86)+1,"")</f>
        <v/>
      </c>
      <c r="B87" s="3">
        <f>IF(A87&lt;&gt;"","iCoA-PP_26-"&amp;TEXT(A87,"000"),IF(C87="n/a","not needed","— at issue —"))</f>
        <v/>
      </c>
      <c r="C87" s="6" t="inlineStr">
        <is>
          <t>no</t>
        </is>
      </c>
      <c r="D87" s="5">
        <f>IF(A87="","",IF(G87="legacy",DATE(2026,5,15),IF(ISNUMBER(F87),(F87+5)+CHOOSE(WEEKDAY(F87+5,2),0,0,0,0,0,2,1),"")))</f>
        <v/>
      </c>
      <c r="E87" s="5" t="inlineStr">
        <is>
          <t>at retest sampling</t>
        </is>
      </c>
      <c r="F87" s="5">
        <f>IFERROR(INDEX('Batch Dates'!$G:$G,MATCH(J87,'Batch Dates'!$C:$C,0)),IFERROR(INDEX('Batch Dates'!$G:$G,MATCH(I87,'Batch Dates'!$B:$B,0)),""))</f>
        <v/>
      </c>
      <c r="G87" s="2" t="inlineStr">
        <is>
          <t>legacy</t>
        </is>
      </c>
      <c r="H87" s="2" t="inlineStr">
        <is>
          <t>retest — Tranche 1 (sampled July 2026)</t>
        </is>
      </c>
      <c r="I87" s="3" t="inlineStr">
        <is>
          <t>HPA1024</t>
        </is>
      </c>
      <c r="J87" s="2" t="inlineStr">
        <is>
          <t>N/A — no P batch assigned</t>
        </is>
      </c>
      <c r="K87" s="2" t="inlineStr">
        <is>
          <t>HighProAmnesia</t>
        </is>
      </c>
      <c r="L87" s="2" t="inlineStr">
        <is>
          <t>Ident A + Ident B + Foreign matter</t>
        </is>
      </c>
      <c r="M87" s="6" t="inlineStr">
        <is>
          <t>—</t>
        </is>
      </c>
      <c r="N87" s="2">
        <f>IFERROR(INDEX('CoQ Register'!$B:$B,MATCH("HPA1024|R",'CoQ Register'!$S:$S,0)),"—")</f>
        <v/>
      </c>
      <c r="O87" s="6" t="inlineStr">
        <is>
          <t>—</t>
        </is>
      </c>
      <c r="P87" s="2" t="inlineStr">
        <is>
          <t>HPA1024|R</t>
        </is>
      </c>
      <c r="Q87" s="9" t="inlineStr">
        <is>
          <t>not yet issuable — retest assay on file; identification A, B and foreign matter to test at the retest sampling</t>
        </is>
      </c>
    </row>
    <row r="88">
      <c r="A88" s="2">
        <f>IF(C88="yes",COUNT(A$1:A87)+1,"")</f>
        <v/>
      </c>
      <c r="B88" s="3">
        <f>IF(A88&lt;&gt;"","iCoA-PP_26-"&amp;TEXT(A88,"000"),IF(C88="n/a","not needed","— at issue —"))</f>
        <v/>
      </c>
      <c r="C88" s="6" t="inlineStr">
        <is>
          <t>no</t>
        </is>
      </c>
      <c r="D88" s="5">
        <f>IF(A88="","",IF(G88="legacy",DATE(2026,5,15),IF(ISNUMBER(F88),(F88+5)+CHOOSE(WEEKDAY(F88+5,2),0,0,0,0,0,2,1),"")))</f>
        <v/>
      </c>
      <c r="E88" s="5" t="inlineStr">
        <is>
          <t>at retest sampling</t>
        </is>
      </c>
      <c r="F88" s="5">
        <f>IFERROR(INDEX('Batch Dates'!$G:$G,MATCH(J88,'Batch Dates'!$C:$C,0)),IFERROR(INDEX('Batch Dates'!$G:$G,MATCH(I88,'Batch Dates'!$B:$B,0)),""))</f>
        <v/>
      </c>
      <c r="G88" s="2" t="inlineStr">
        <is>
          <t>legacy</t>
        </is>
      </c>
      <c r="H88" s="2" t="inlineStr">
        <is>
          <t>retest — Tranche 1 (sampled July 2026)</t>
        </is>
      </c>
      <c r="I88" s="3" t="inlineStr">
        <is>
          <t>OPM1024</t>
        </is>
      </c>
      <c r="J88" s="2" t="inlineStr">
        <is>
          <t>N/A — no P batch assigned</t>
        </is>
      </c>
      <c r="K88" s="2" t="inlineStr">
        <is>
          <t>OrangePunchMimosa</t>
        </is>
      </c>
      <c r="L88" s="2" t="inlineStr">
        <is>
          <t>Ident A + Ident B + Foreign matter</t>
        </is>
      </c>
      <c r="M88" s="6" t="inlineStr">
        <is>
          <t>—</t>
        </is>
      </c>
      <c r="N88" s="2">
        <f>IFERROR(INDEX('CoQ Register'!$B:$B,MATCH("OPM1024|R",'CoQ Register'!$S:$S,0)),"—")</f>
        <v/>
      </c>
      <c r="O88" s="6" t="inlineStr">
        <is>
          <t>—</t>
        </is>
      </c>
      <c r="P88" s="2" t="inlineStr">
        <is>
          <t>OPM1024|R</t>
        </is>
      </c>
      <c r="Q88" s="9" t="inlineStr">
        <is>
          <t>not yet issuable — retest assay on file; identification A, B and foreign matter to test at the retest sampling</t>
        </is>
      </c>
    </row>
    <row r="89">
      <c r="A89" s="2">
        <f>IF(C89="yes",COUNT(A$1:A88)+1,"")</f>
        <v/>
      </c>
      <c r="B89" s="3">
        <f>IF(A89&lt;&gt;"","iCoA-PP_26-"&amp;TEXT(A89,"000"),IF(C89="n/a","not needed","— at issue —"))</f>
        <v/>
      </c>
      <c r="C89" s="6" t="inlineStr">
        <is>
          <t>no</t>
        </is>
      </c>
      <c r="D89" s="5">
        <f>IF(A89="","",IF(G89="legacy",DATE(2026,5,15),IF(ISNUMBER(F89),(F89+5)+CHOOSE(WEEKDAY(F89+5,2),0,0,0,0,0,2,1),"")))</f>
        <v/>
      </c>
      <c r="E89" s="5" t="inlineStr">
        <is>
          <t>at retest sampling</t>
        </is>
      </c>
      <c r="F89" s="5">
        <f>IFERROR(INDEX('Batch Dates'!$G:$G,MATCH(J89,'Batch Dates'!$C:$C,0)),IFERROR(INDEX('Batch Dates'!$G:$G,MATCH(I89,'Batch Dates'!$B:$B,0)),""))</f>
        <v/>
      </c>
      <c r="G89" s="2" t="inlineStr">
        <is>
          <t>legacy</t>
        </is>
      </c>
      <c r="H89" s="2" t="inlineStr">
        <is>
          <t>retest — Tranche 1 (sampled July 2026)</t>
        </is>
      </c>
      <c r="I89" s="3" t="inlineStr">
        <is>
          <t>GP0824_02</t>
        </is>
      </c>
      <c r="J89" s="2" t="inlineStr">
        <is>
          <t>P050022</t>
        </is>
      </c>
      <c r="K89" s="2" t="inlineStr">
        <is>
          <t>Grape Pie</t>
        </is>
      </c>
      <c r="L89" s="2" t="inlineStr">
        <is>
          <t>Ident A + Ident B + Foreign matter</t>
        </is>
      </c>
      <c r="M89" s="6" t="inlineStr">
        <is>
          <t>—</t>
        </is>
      </c>
      <c r="N89" s="2">
        <f>IFERROR(INDEX('CoQ Register'!$B:$B,MATCH("P050022|R",'CoQ Register'!$S:$S,0)),"—")</f>
        <v/>
      </c>
      <c r="O89" s="6" t="inlineStr">
        <is>
          <t>—</t>
        </is>
      </c>
      <c r="P89" s="2" t="inlineStr">
        <is>
          <t>P050022|R</t>
        </is>
      </c>
      <c r="Q89" s="9" t="inlineStr">
        <is>
          <t>not yet issuable — retest assay on file; identification A, B and foreign matter to test at the retest sampling</t>
        </is>
      </c>
    </row>
    <row r="90">
      <c r="A90" s="2">
        <f>IF(C90="yes",COUNT(A$1:A89)+1,"")</f>
        <v/>
      </c>
      <c r="B90" s="3">
        <f>IF(A90&lt;&gt;"","iCoA-PP_26-"&amp;TEXT(A90,"000"),IF(C90="n/a","not needed","— at issue —"))</f>
        <v/>
      </c>
      <c r="C90" s="6" t="inlineStr">
        <is>
          <t>no</t>
        </is>
      </c>
      <c r="D90" s="5">
        <f>IF(A90="","",IF(G90="legacy",DATE(2026,5,15),IF(ISNUMBER(F90),(F90+5)+CHOOSE(WEEKDAY(F90+5,2),0,0,0,0,0,2,1),"")))</f>
        <v/>
      </c>
      <c r="E90" s="5" t="inlineStr">
        <is>
          <t>at retest sampling</t>
        </is>
      </c>
      <c r="F90" s="5">
        <f>IFERROR(INDEX('Batch Dates'!$G:$G,MATCH(J90,'Batch Dates'!$C:$C,0)),IFERROR(INDEX('Batch Dates'!$G:$G,MATCH(I90,'Batch Dates'!$B:$B,0)),""))</f>
        <v/>
      </c>
      <c r="G90" s="2" t="inlineStr">
        <is>
          <t>legacy</t>
        </is>
      </c>
      <c r="H90" s="2" t="inlineStr">
        <is>
          <t>retest — Tranche 1 (sampled July 2026)</t>
        </is>
      </c>
      <c r="I90" s="3" t="inlineStr">
        <is>
          <t>HPA1024_01</t>
        </is>
      </c>
      <c r="J90" s="2" t="inlineStr">
        <is>
          <t>P050052</t>
        </is>
      </c>
      <c r="K90" s="2" t="inlineStr">
        <is>
          <t>High Pro Amnesia</t>
        </is>
      </c>
      <c r="L90" s="2" t="inlineStr">
        <is>
          <t>Ident A + Ident B + Foreign matter</t>
        </is>
      </c>
      <c r="M90" s="6" t="inlineStr">
        <is>
          <t>—</t>
        </is>
      </c>
      <c r="N90" s="2">
        <f>IFERROR(INDEX('CoQ Register'!$B:$B,MATCH("P050052|R",'CoQ Register'!$S:$S,0)),"—")</f>
        <v/>
      </c>
      <c r="O90" s="6" t="inlineStr">
        <is>
          <t>—</t>
        </is>
      </c>
      <c r="P90" s="2" t="inlineStr">
        <is>
          <t>P050052|R</t>
        </is>
      </c>
      <c r="Q90" s="9" t="inlineStr">
        <is>
          <t>not yet issuable — retest assay on file; identification A, B and foreign matter to test at the retest sampling</t>
        </is>
      </c>
    </row>
    <row r="91">
      <c r="A91" s="2">
        <f>IF(C91="yes",COUNT(A$1:A90)+1,"")</f>
        <v/>
      </c>
      <c r="B91" s="3">
        <f>IF(A91&lt;&gt;"","iCoA-PP_26-"&amp;TEXT(A91,"000"),IF(C91="n/a","not needed","— at issue —"))</f>
        <v/>
      </c>
      <c r="C91" s="6" t="inlineStr">
        <is>
          <t>no</t>
        </is>
      </c>
      <c r="D91" s="5">
        <f>IF(A91="","",IF(G91="legacy",DATE(2026,5,15),IF(ISNUMBER(F91),(F91+5)+CHOOSE(WEEKDAY(F91+5,2),0,0,0,0,0,2,1),"")))</f>
        <v/>
      </c>
      <c r="E91" s="5" t="inlineStr">
        <is>
          <t>at retest sampling</t>
        </is>
      </c>
      <c r="F91" s="5">
        <f>IFERROR(INDEX('Batch Dates'!$G:$G,MATCH(J91,'Batch Dates'!$C:$C,0)),IFERROR(INDEX('Batch Dates'!$G:$G,MATCH(I91,'Batch Dates'!$B:$B,0)),""))</f>
        <v/>
      </c>
      <c r="G91" s="2" t="inlineStr">
        <is>
          <t>legacy</t>
        </is>
      </c>
      <c r="H91" s="2" t="inlineStr">
        <is>
          <t>retest — Tranche 1 (sampled July 2026)</t>
        </is>
      </c>
      <c r="I91" s="3" t="inlineStr">
        <is>
          <t>OPM1024_02</t>
        </is>
      </c>
      <c r="J91" s="2" t="inlineStr">
        <is>
          <t>P050062</t>
        </is>
      </c>
      <c r="K91" s="2" t="inlineStr">
        <is>
          <t>Orange Punch Mimosa</t>
        </is>
      </c>
      <c r="L91" s="2" t="inlineStr">
        <is>
          <t>Ident A + Ident B + Foreign matter</t>
        </is>
      </c>
      <c r="M91" s="6" t="inlineStr">
        <is>
          <t>—</t>
        </is>
      </c>
      <c r="N91" s="2">
        <f>IFERROR(INDEX('CoQ Register'!$B:$B,MATCH("P050062|R",'CoQ Register'!$S:$S,0)),"—")</f>
        <v/>
      </c>
      <c r="O91" s="6" t="inlineStr">
        <is>
          <t>—</t>
        </is>
      </c>
      <c r="P91" s="2" t="inlineStr">
        <is>
          <t>P050062|R</t>
        </is>
      </c>
      <c r="Q91" s="9" t="inlineStr">
        <is>
          <t>not yet issuable — retest assay on file; identification A, B and foreign matter to test at the retest sampling</t>
        </is>
      </c>
    </row>
    <row r="92">
      <c r="A92" s="2">
        <f>IF(C92="yes",COUNT(A$1:A91)+1,"")</f>
        <v/>
      </c>
      <c r="B92" s="3">
        <f>IF(A92&lt;&gt;"","iCoA-PP_26-"&amp;TEXT(A92,"000"),IF(C92="n/a","not needed","— at issue —"))</f>
        <v/>
      </c>
      <c r="C92" s="6" t="inlineStr">
        <is>
          <t>no</t>
        </is>
      </c>
      <c r="D92" s="5">
        <f>IF(A92="","",IF(G92="legacy",DATE(2026,5,15),IF(ISNUMBER(F92),(F92+5)+CHOOSE(WEEKDAY(F92+5,2),0,0,0,0,0,2,1),"")))</f>
        <v/>
      </c>
      <c r="E92" s="5" t="inlineStr">
        <is>
          <t>at retest sampling</t>
        </is>
      </c>
      <c r="F92" s="5">
        <f>IFERROR(INDEX('Batch Dates'!$G:$G,MATCH(J92,'Batch Dates'!$C:$C,0)),IFERROR(INDEX('Batch Dates'!$G:$G,MATCH(I92,'Batch Dates'!$B:$B,0)),""))</f>
        <v/>
      </c>
      <c r="G92" s="2" t="inlineStr">
        <is>
          <t>legacy</t>
        </is>
      </c>
      <c r="H92" s="2" t="inlineStr">
        <is>
          <t>retest — Tranche 1 (sampled July 2026)</t>
        </is>
      </c>
      <c r="I92" s="3" t="inlineStr">
        <is>
          <t>GG1024_01</t>
        </is>
      </c>
      <c r="J92" s="2" t="inlineStr">
        <is>
          <t>P050092</t>
        </is>
      </c>
      <c r="K92" s="2" t="inlineStr">
        <is>
          <t>Gorilla Glue</t>
        </is>
      </c>
      <c r="L92" s="2" t="inlineStr">
        <is>
          <t>Ident A + Ident B + Foreign matter</t>
        </is>
      </c>
      <c r="M92" s="6" t="inlineStr">
        <is>
          <t>—</t>
        </is>
      </c>
      <c r="N92" s="2">
        <f>IFERROR(INDEX('CoQ Register'!$B:$B,MATCH("P050092|R",'CoQ Register'!$S:$S,0)),"—")</f>
        <v/>
      </c>
      <c r="O92" s="6" t="inlineStr">
        <is>
          <t>—</t>
        </is>
      </c>
      <c r="P92" s="2" t="inlineStr">
        <is>
          <t>P050092|R</t>
        </is>
      </c>
      <c r="Q92" s="9" t="inlineStr">
        <is>
          <t>not yet issuable — retest assay on file; identification A, B and foreign matter to test at the retest sampling</t>
        </is>
      </c>
    </row>
    <row r="93">
      <c r="A93" s="2">
        <f>IF(C93="yes",COUNT(A$1:A92)+1,"")</f>
        <v/>
      </c>
      <c r="B93" s="3">
        <f>IF(A93&lt;&gt;"","iCoA-PP_26-"&amp;TEXT(A93,"000"),IF(C93="n/a","not needed","— at issue —"))</f>
        <v/>
      </c>
      <c r="C93" s="6" t="inlineStr">
        <is>
          <t>no</t>
        </is>
      </c>
      <c r="D93" s="5">
        <f>IF(A93="","",IF(G93="legacy",DATE(2026,5,15),IF(ISNUMBER(F93),(F93+5)+CHOOSE(WEEKDAY(F93+5,2),0,0,0,0,0,2,1),"")))</f>
        <v/>
      </c>
      <c r="E93" s="5" t="inlineStr">
        <is>
          <t>at retest sampling</t>
        </is>
      </c>
      <c r="F93" s="5">
        <f>IFERROR(INDEX('Batch Dates'!$G:$G,MATCH(J93,'Batch Dates'!$C:$C,0)),IFERROR(INDEX('Batch Dates'!$G:$G,MATCH(I93,'Batch Dates'!$B:$B,0)),""))</f>
        <v/>
      </c>
      <c r="G93" s="2" t="inlineStr">
        <is>
          <t>legacy</t>
        </is>
      </c>
      <c r="H93" s="2" t="inlineStr">
        <is>
          <t>retest — Tranche 1 (sampled July 2026)</t>
        </is>
      </c>
      <c r="I93" s="3" t="inlineStr">
        <is>
          <t>GP052501</t>
        </is>
      </c>
      <c r="J93" s="2" t="inlineStr">
        <is>
          <t>P050152</t>
        </is>
      </c>
      <c r="K93" s="2" t="inlineStr">
        <is>
          <t>Grape Pie</t>
        </is>
      </c>
      <c r="L93" s="2" t="inlineStr">
        <is>
          <t>Ident A + Ident B + Foreign matter</t>
        </is>
      </c>
      <c r="M93" s="6" t="inlineStr">
        <is>
          <t>—</t>
        </is>
      </c>
      <c r="N93" s="2">
        <f>IFERROR(INDEX('CoQ Register'!$B:$B,MATCH("P050152|R",'CoQ Register'!$S:$S,0)),"—")</f>
        <v/>
      </c>
      <c r="O93" s="6" t="inlineStr">
        <is>
          <t>—</t>
        </is>
      </c>
      <c r="P93" s="2" t="inlineStr">
        <is>
          <t>P050152|R</t>
        </is>
      </c>
      <c r="Q93" s="9" t="inlineStr">
        <is>
          <t>not yet issuable — retest assay on file; identification A, B and foreign matter to test at the retest sampling</t>
        </is>
      </c>
    </row>
    <row r="94">
      <c r="A94" s="2">
        <f>IF(C94="yes",COUNT(A$1:A93)+1,"")</f>
        <v/>
      </c>
      <c r="B94" s="3">
        <f>IF(A94&lt;&gt;"","iCoA-PP_26-"&amp;TEXT(A94,"000"),IF(C94="n/a","not needed","— at issue —"))</f>
        <v/>
      </c>
      <c r="C94" s="6" t="inlineStr">
        <is>
          <t>no</t>
        </is>
      </c>
      <c r="D94" s="5">
        <f>IF(A94="","",IF(G94="legacy",DATE(2026,5,15),IF(ISNUMBER(F94),(F94+5)+CHOOSE(WEEKDAY(F94+5,2),0,0,0,0,0,2,1),"")))</f>
        <v/>
      </c>
      <c r="E94" s="5" t="inlineStr">
        <is>
          <t>at retest sampling</t>
        </is>
      </c>
      <c r="F94" s="5">
        <f>IFERROR(INDEX('Batch Dates'!$G:$G,MATCH(J94,'Batch Dates'!$C:$C,0)),IFERROR(INDEX('Batch Dates'!$G:$G,MATCH(I94,'Batch Dates'!$B:$B,0)),""))</f>
        <v/>
      </c>
      <c r="G94" s="2" t="inlineStr">
        <is>
          <t>legacy</t>
        </is>
      </c>
      <c r="H94" s="2" t="inlineStr">
        <is>
          <t>retest — Tranche 1 (sampled July 2026)</t>
        </is>
      </c>
      <c r="I94" s="3" t="inlineStr">
        <is>
          <t>CJ052501/01</t>
        </is>
      </c>
      <c r="J94" s="2" t="inlineStr">
        <is>
          <t>P050162</t>
        </is>
      </c>
      <c r="K94" s="2" t="inlineStr">
        <is>
          <t>Cup Junky</t>
        </is>
      </c>
      <c r="L94" s="2" t="inlineStr">
        <is>
          <t>Ident A + Ident B + Foreign matter</t>
        </is>
      </c>
      <c r="M94" s="6" t="inlineStr">
        <is>
          <t>—</t>
        </is>
      </c>
      <c r="N94" s="2">
        <f>IFERROR(INDEX('CoQ Register'!$B:$B,MATCH("P050162|R",'CoQ Register'!$S:$S,0)),"—")</f>
        <v/>
      </c>
      <c r="O94" s="6" t="inlineStr">
        <is>
          <t>—</t>
        </is>
      </c>
      <c r="P94" s="2" t="inlineStr">
        <is>
          <t>P050162|R</t>
        </is>
      </c>
      <c r="Q94" s="9" t="inlineStr">
        <is>
          <t>not yet issuable — retest assay on file; identification A, B and foreign matter to test at the retest sampling</t>
        </is>
      </c>
    </row>
    <row r="95">
      <c r="A95" s="2">
        <f>IF(C95="yes",COUNT(A$1:A94)+1,"")</f>
        <v/>
      </c>
      <c r="B95" s="3">
        <f>IF(A95&lt;&gt;"","iCoA-PP_26-"&amp;TEXT(A95,"000"),IF(C95="n/a","not needed","— at issue —"))</f>
        <v/>
      </c>
      <c r="C95" s="6" t="inlineStr">
        <is>
          <t>no</t>
        </is>
      </c>
      <c r="D95" s="5">
        <f>IF(A95="","",IF(G95="legacy",DATE(2026,5,15),IF(ISNUMBER(F95),(F95+5)+CHOOSE(WEEKDAY(F95+5,2),0,0,0,0,0,2,1),"")))</f>
        <v/>
      </c>
      <c r="E95" s="5" t="inlineStr">
        <is>
          <t>at retest sampling</t>
        </is>
      </c>
      <c r="F95" s="5">
        <f>IFERROR(INDEX('Batch Dates'!$G:$G,MATCH(J95,'Batch Dates'!$C:$C,0)),IFERROR(INDEX('Batch Dates'!$G:$G,MATCH(I95,'Batch Dates'!$B:$B,0)),""))</f>
        <v/>
      </c>
      <c r="G95" s="2" t="inlineStr">
        <is>
          <t>legacy</t>
        </is>
      </c>
      <c r="H95" s="2" t="inlineStr">
        <is>
          <t>retest — Tranche 1 (sampled July 2026)</t>
        </is>
      </c>
      <c r="I95" s="3" t="inlineStr">
        <is>
          <t>GP082501/2</t>
        </is>
      </c>
      <c r="J95" s="2" t="inlineStr">
        <is>
          <t>P050322</t>
        </is>
      </c>
      <c r="K95" s="2" t="inlineStr">
        <is>
          <t>Grape Pie</t>
        </is>
      </c>
      <c r="L95" s="2" t="inlineStr">
        <is>
          <t>Ident A + Ident B + Foreign matter</t>
        </is>
      </c>
      <c r="M95" s="6" t="inlineStr">
        <is>
          <t>—</t>
        </is>
      </c>
      <c r="N95" s="2">
        <f>IFERROR(INDEX('CoQ Register'!$B:$B,MATCH("P050322|R",'CoQ Register'!$S:$S,0)),"—")</f>
        <v/>
      </c>
      <c r="O95" s="6" t="inlineStr">
        <is>
          <t>—</t>
        </is>
      </c>
      <c r="P95" s="2" t="inlineStr">
        <is>
          <t>P050322|R</t>
        </is>
      </c>
      <c r="Q95" s="9" t="inlineStr">
        <is>
          <t>not yet issuable — retest assay on file; identification A, B and foreign matter to test at the retest sampling</t>
        </is>
      </c>
    </row>
    <row r="96">
      <c r="A96" s="2">
        <f>IF(C96="yes",COUNT(A$1:A95)+1,"")</f>
        <v/>
      </c>
      <c r="B96" s="3">
        <f>IF(A96&lt;&gt;"","iCoA-PP_26-"&amp;TEXT(A96,"000"),IF(C96="n/a","not needed","— at issue —"))</f>
        <v/>
      </c>
      <c r="C96" s="6" t="inlineStr">
        <is>
          <t>no</t>
        </is>
      </c>
      <c r="D96" s="5">
        <f>IF(A96="","",IF(G96="legacy",DATE(2026,5,15),IF(ISNUMBER(F96),(F96+5)+CHOOSE(WEEKDAY(F96+5,2),0,0,0,0,0,2,1),"")))</f>
        <v/>
      </c>
      <c r="E96" s="5" t="inlineStr">
        <is>
          <t>at retest sampling</t>
        </is>
      </c>
      <c r="F96" s="5">
        <f>IFERROR(INDEX('Batch Dates'!$G:$G,MATCH(J96,'Batch Dates'!$C:$C,0)),IFERROR(INDEX('Batch Dates'!$G:$G,MATCH(I96,'Batch Dates'!$B:$B,0)),""))</f>
        <v/>
      </c>
      <c r="G96" s="2" t="inlineStr">
        <is>
          <t>legacy</t>
        </is>
      </c>
      <c r="H96" s="2" t="inlineStr">
        <is>
          <t>retest — Tranche 1 (sampled July 2026)</t>
        </is>
      </c>
      <c r="I96" s="3" t="inlineStr">
        <is>
          <t>CJ062501/2</t>
        </is>
      </c>
      <c r="J96" s="2" t="inlineStr">
        <is>
          <t>P050212</t>
        </is>
      </c>
      <c r="K96" s="2" t="inlineStr">
        <is>
          <t>Cap Junkie</t>
        </is>
      </c>
      <c r="L96" s="2" t="inlineStr">
        <is>
          <t>Ident A + Ident B + Foreign matter</t>
        </is>
      </c>
      <c r="M96" s="6" t="inlineStr">
        <is>
          <t>—</t>
        </is>
      </c>
      <c r="N96" s="2">
        <f>IFERROR(INDEX('CoQ Register'!$B:$B,MATCH("P050212|R",'CoQ Register'!$S:$S,0)),"—")</f>
        <v/>
      </c>
      <c r="O96" s="6" t="inlineStr">
        <is>
          <t>—</t>
        </is>
      </c>
      <c r="P96" s="2" t="inlineStr">
        <is>
          <t>P050212|R</t>
        </is>
      </c>
      <c r="Q96" s="9" t="inlineStr">
        <is>
          <t>not yet issuable — retest assay on file; identification A, B and foreign matter to test at the retest sampling</t>
        </is>
      </c>
    </row>
    <row r="97">
      <c r="A97" s="2">
        <f>IF(C97="yes",COUNT(A$1:A96)+1,"")</f>
        <v/>
      </c>
      <c r="B97" s="3">
        <f>IF(A97&lt;&gt;"","iCoA-PP_26-"&amp;TEXT(A97,"000"),IF(C97="n/a","not needed","— at issue —"))</f>
        <v/>
      </c>
      <c r="C97" s="6" t="inlineStr">
        <is>
          <t>no</t>
        </is>
      </c>
      <c r="D97" s="5">
        <f>IF(A97="","",IF(G97="legacy",DATE(2026,5,15),IF(ISNUMBER(F97),(F97+5)+CHOOSE(WEEKDAY(F97+5,2),0,0,0,0,0,2,1),"")))</f>
        <v/>
      </c>
      <c r="E97" s="5" t="inlineStr">
        <is>
          <t>at retest sampling</t>
        </is>
      </c>
      <c r="F97" s="5">
        <f>IFERROR(INDEX('Batch Dates'!$G:$G,MATCH(J97,'Batch Dates'!$C:$C,0)),IFERROR(INDEX('Batch Dates'!$G:$G,MATCH(I97,'Batch Dates'!$B:$B,0)),""))</f>
        <v/>
      </c>
      <c r="G97" s="2" t="inlineStr">
        <is>
          <t>legacy</t>
        </is>
      </c>
      <c r="H97" s="2" t="inlineStr">
        <is>
          <t>retest — Tranche 1 (sampled July 2026)</t>
        </is>
      </c>
      <c r="I97" s="3" t="inlineStr">
        <is>
          <t>CJ082501/2</t>
        </is>
      </c>
      <c r="J97" s="2" t="inlineStr">
        <is>
          <t>P060032</t>
        </is>
      </c>
      <c r="K97" s="2" t="inlineStr">
        <is>
          <t>Cap Junky</t>
        </is>
      </c>
      <c r="L97" s="2" t="inlineStr">
        <is>
          <t>Ident A + Ident B + Foreign matter</t>
        </is>
      </c>
      <c r="M97" s="6" t="inlineStr">
        <is>
          <t>—</t>
        </is>
      </c>
      <c r="N97" s="2">
        <f>IFERROR(INDEX('CoQ Register'!$B:$B,MATCH("P060032|R",'CoQ Register'!$S:$S,0)),"—")</f>
        <v/>
      </c>
      <c r="O97" s="6" t="inlineStr">
        <is>
          <t>—</t>
        </is>
      </c>
      <c r="P97" s="2" t="inlineStr">
        <is>
          <t>P060032|R</t>
        </is>
      </c>
      <c r="Q97" s="9" t="inlineStr">
        <is>
          <t>not yet issuable — retest assay on file; identification A, B and foreign matter to test at the retest sampling</t>
        </is>
      </c>
    </row>
    <row r="98">
      <c r="A98" s="2">
        <f>IF(C98="yes",COUNT(A$1:A97)+1,"")</f>
        <v/>
      </c>
      <c r="B98" s="3">
        <f>IF(A98&lt;&gt;"","iCoA-PP_26-"&amp;TEXT(A98,"000"),IF(C98="n/a","not needed","— at issue —"))</f>
        <v/>
      </c>
      <c r="C98" s="6" t="inlineStr">
        <is>
          <t>no</t>
        </is>
      </c>
      <c r="D98" s="5">
        <f>IF(A98="","",IF(G98="legacy",DATE(2026,5,15),IF(ISNUMBER(F98),(F98+5)+CHOOSE(WEEKDAY(F98+5,2),0,0,0,0,0,2,1),"")))</f>
        <v/>
      </c>
      <c r="E98" s="5" t="inlineStr">
        <is>
          <t>at retest sampling</t>
        </is>
      </c>
      <c r="F98" s="5">
        <f>IFERROR(INDEX('Batch Dates'!$G:$G,MATCH(J98,'Batch Dates'!$C:$C,0)),IFERROR(INDEX('Batch Dates'!$G:$G,MATCH(I98,'Batch Dates'!$B:$B,0)),""))</f>
        <v/>
      </c>
      <c r="G98" s="2" t="inlineStr">
        <is>
          <t>legacy</t>
        </is>
      </c>
      <c r="H98" s="2" t="inlineStr">
        <is>
          <t>retest — Tranche 1 (sampled July 2026)</t>
        </is>
      </c>
      <c r="I98" s="3" t="inlineStr">
        <is>
          <t>PM092501</t>
        </is>
      </c>
      <c r="J98" s="2" t="inlineStr">
        <is>
          <t>P060062</t>
        </is>
      </c>
      <c r="K98" s="2" t="inlineStr">
        <is>
          <t>Permanent Market</t>
        </is>
      </c>
      <c r="L98" s="2" t="inlineStr">
        <is>
          <t>Ident A + Ident B + Foreign matter</t>
        </is>
      </c>
      <c r="M98" s="6" t="inlineStr">
        <is>
          <t>—</t>
        </is>
      </c>
      <c r="N98" s="2">
        <f>IFERROR(INDEX('CoQ Register'!$B:$B,MATCH("P060062|R",'CoQ Register'!$S:$S,0)),"—")</f>
        <v/>
      </c>
      <c r="O98" s="6" t="inlineStr">
        <is>
          <t>—</t>
        </is>
      </c>
      <c r="P98" s="2" t="inlineStr">
        <is>
          <t>P060062|R</t>
        </is>
      </c>
      <c r="Q98" s="9" t="inlineStr">
        <is>
          <t>not yet issuable — retest assay on file; identification A, B and foreign matter to test at the retest sampling</t>
        </is>
      </c>
    </row>
    <row r="99">
      <c r="A99" s="2">
        <f>IF(C99="yes",COUNT(A$1:A98)+1,"")</f>
        <v/>
      </c>
      <c r="B99" s="3">
        <f>IF(A99&lt;&gt;"","iCoA-PP_26-"&amp;TEXT(A99,"000"),IF(C99="n/a","not needed","— at issue —"))</f>
        <v/>
      </c>
      <c r="C99" s="6" t="inlineStr">
        <is>
          <t>no</t>
        </is>
      </c>
      <c r="D99" s="5">
        <f>IF(A99="","",IF(G99="legacy",DATE(2026,5,15),IF(ISNUMBER(F99),(F99+5)+CHOOSE(WEEKDAY(F99+5,2),0,0,0,0,0,2,1),"")))</f>
        <v/>
      </c>
      <c r="E99" s="5" t="inlineStr">
        <is>
          <t>at retest sampling</t>
        </is>
      </c>
      <c r="F99" s="5">
        <f>IFERROR(INDEX('Batch Dates'!$G:$G,MATCH(J99,'Batch Dates'!$C:$C,0)),IFERROR(INDEX('Batch Dates'!$G:$G,MATCH(I99,'Batch Dates'!$B:$B,0)),""))</f>
        <v/>
      </c>
      <c r="G99" s="2" t="inlineStr">
        <is>
          <t>legacy</t>
        </is>
      </c>
      <c r="H99" s="2" t="inlineStr">
        <is>
          <t>retest — Tranche 1 (sampled July 2026)</t>
        </is>
      </c>
      <c r="I99" s="3" t="inlineStr">
        <is>
          <t>J31102501</t>
        </is>
      </c>
      <c r="J99" s="2" t="inlineStr">
        <is>
          <t>P060152</t>
        </is>
      </c>
      <c r="K99" s="2" t="inlineStr">
        <is>
          <t>Jokerz 31</t>
        </is>
      </c>
      <c r="L99" s="2" t="inlineStr">
        <is>
          <t>Ident A + Ident B + Foreign matter</t>
        </is>
      </c>
      <c r="M99" s="6" t="inlineStr">
        <is>
          <t>—</t>
        </is>
      </c>
      <c r="N99" s="2">
        <f>IFERROR(INDEX('CoQ Register'!$B:$B,MATCH("P060152|R",'CoQ Register'!$S:$S,0)),"—")</f>
        <v/>
      </c>
      <c r="O99" s="6" t="inlineStr">
        <is>
          <t>—</t>
        </is>
      </c>
      <c r="P99" s="2" t="inlineStr">
        <is>
          <t>P060152|R</t>
        </is>
      </c>
      <c r="Q99" s="9" t="inlineStr">
        <is>
          <t>not yet issuable — retest assay on file; identification A, B and foreign matter to test at the retest sampling</t>
        </is>
      </c>
    </row>
    <row r="100">
      <c r="A100" s="2">
        <f>IF(C100="yes",COUNT(A$1:A99)+1,"")</f>
        <v/>
      </c>
      <c r="B100" s="3">
        <f>IF(A100&lt;&gt;"","iCoA-PP_26-"&amp;TEXT(A100,"000"),IF(C100="n/a","not needed","— at issue —"))</f>
        <v/>
      </c>
      <c r="C100" s="6" t="inlineStr">
        <is>
          <t>no</t>
        </is>
      </c>
      <c r="D100" s="5">
        <f>IF(A100="","",IF(G100="legacy",DATE(2026,5,15),IF(ISNUMBER(F100),(F100+5)+CHOOSE(WEEKDAY(F100+5,2),0,0,0,0,0,2,1),"")))</f>
        <v/>
      </c>
      <c r="E100" s="5" t="inlineStr">
        <is>
          <t>at retest sampling</t>
        </is>
      </c>
      <c r="F100" s="5">
        <f>IFERROR(INDEX('Batch Dates'!$G:$G,MATCH(J100,'Batch Dates'!$C:$C,0)),IFERROR(INDEX('Batch Dates'!$G:$G,MATCH(I100,'Batch Dates'!$B:$B,0)),""))</f>
        <v/>
      </c>
      <c r="G100" s="2" t="inlineStr">
        <is>
          <t>legacy</t>
        </is>
      </c>
      <c r="H100" s="2" t="inlineStr">
        <is>
          <t>retest — Tranche 1 (sampled July 2026)</t>
        </is>
      </c>
      <c r="I100" s="3" t="inlineStr">
        <is>
          <t>JD112501</t>
        </is>
      </c>
      <c r="J100" s="2" t="inlineStr">
        <is>
          <t>P060212</t>
        </is>
      </c>
      <c r="K100" s="2" t="inlineStr">
        <is>
          <t>Jelly Donutz</t>
        </is>
      </c>
      <c r="L100" s="2" t="inlineStr">
        <is>
          <t>Ident A + Ident B + Foreign matter</t>
        </is>
      </c>
      <c r="M100" s="6" t="inlineStr">
        <is>
          <t>—</t>
        </is>
      </c>
      <c r="N100" s="2">
        <f>IFERROR(INDEX('CoQ Register'!$B:$B,MATCH("P060212|R",'CoQ Register'!$S:$S,0)),"—")</f>
        <v/>
      </c>
      <c r="O100" s="6" t="inlineStr">
        <is>
          <t>—</t>
        </is>
      </c>
      <c r="P100" s="2" t="inlineStr">
        <is>
          <t>P060212|R</t>
        </is>
      </c>
      <c r="Q100" s="9" t="inlineStr">
        <is>
          <t>not yet issuable — retest assay on file; identification A, B and foreign matter to test at the retest sampling</t>
        </is>
      </c>
    </row>
    <row r="101">
      <c r="A101" s="2">
        <f>IF(C101="yes",COUNT(A$1:A100)+1,"")</f>
        <v/>
      </c>
      <c r="B101" s="3">
        <f>IF(A101&lt;&gt;"","iCoA-PP_26-"&amp;TEXT(A101,"000"),IF(C101="n/a","not needed","— at issue —"))</f>
        <v/>
      </c>
      <c r="C101" s="6" t="inlineStr">
        <is>
          <t>no</t>
        </is>
      </c>
      <c r="D101" s="5">
        <f>IF(A101="","",IF(G101="legacy",DATE(2026,5,15),IF(ISNUMBER(F101),(F101+5)+CHOOSE(WEEKDAY(F101+5,2),0,0,0,0,0,2,1),"")))</f>
        <v/>
      </c>
      <c r="E101" s="5" t="inlineStr">
        <is>
          <t>at retest sampling</t>
        </is>
      </c>
      <c r="F101" s="5">
        <f>IFERROR(INDEX('Batch Dates'!$G:$G,MATCH(J101,'Batch Dates'!$C:$C,0)),IFERROR(INDEX('Batch Dates'!$G:$G,MATCH(I101,'Batch Dates'!$B:$B,0)),""))</f>
        <v/>
      </c>
      <c r="G101" s="2" t="inlineStr">
        <is>
          <t>post-SOP</t>
        </is>
      </c>
      <c r="H101" s="2" t="inlineStr">
        <is>
          <t>retest — re-analysed</t>
        </is>
      </c>
      <c r="I101" s="3" t="inlineStr">
        <is>
          <t>J31122501</t>
        </is>
      </c>
      <c r="J101" s="2" t="inlineStr">
        <is>
          <t>P060262</t>
        </is>
      </c>
      <c r="K101" s="2" t="inlineStr">
        <is>
          <t>Jokerz 31</t>
        </is>
      </c>
      <c r="L101" s="2" t="inlineStr">
        <is>
          <t>Ident A + Ident B + Foreign matter</t>
        </is>
      </c>
      <c r="M101" s="6" t="inlineStr">
        <is>
          <t>—</t>
        </is>
      </c>
      <c r="N101" s="2">
        <f>IFERROR(INDEX('CoQ Register'!$B:$B,MATCH("P060262|R",'CoQ Register'!$S:$S,0)),"—")</f>
        <v/>
      </c>
      <c r="O101" s="6" t="inlineStr">
        <is>
          <t>—</t>
        </is>
      </c>
      <c r="P101" s="2" t="inlineStr">
        <is>
          <t>P060262|R</t>
        </is>
      </c>
      <c r="Q101" s="9" t="inlineStr">
        <is>
          <t>not yet issuable — retest assay on file; identification A, B and foreign matter to test at the retest sampling</t>
        </is>
      </c>
    </row>
    <row r="102">
      <c r="A102" s="2">
        <f>IF(C102="yes",COUNT(A$1:A101)+1,"")</f>
        <v/>
      </c>
      <c r="B102" s="3">
        <f>IF(A102&lt;&gt;"","iCoA-PP_26-"&amp;TEXT(A102,"000"),IF(C102="n/a","not needed","— at issue —"))</f>
        <v/>
      </c>
      <c r="C102" s="6" t="inlineStr">
        <is>
          <t>no</t>
        </is>
      </c>
      <c r="D102" s="5">
        <f>IF(A102="","",IF(G102="legacy",DATE(2026,5,15),IF(ISNUMBER(F102),(F102+5)+CHOOSE(WEEKDAY(F102+5,2),0,0,0,0,0,2,1),"")))</f>
        <v/>
      </c>
      <c r="E102" s="5" t="inlineStr">
        <is>
          <t>at retest sampling</t>
        </is>
      </c>
      <c r="F102" s="5">
        <f>IFERROR(INDEX('Batch Dates'!$G:$G,MATCH(J102,'Batch Dates'!$C:$C,0)),IFERROR(INDEX('Batch Dates'!$G:$G,MATCH(I102,'Batch Dates'!$B:$B,0)),""))</f>
        <v/>
      </c>
      <c r="G102" s="2" t="inlineStr">
        <is>
          <t>legacy</t>
        </is>
      </c>
      <c r="H102" s="2" t="inlineStr">
        <is>
          <t>retest — Tranche 1 (sampled July 2026)</t>
        </is>
      </c>
      <c r="I102" s="3" t="inlineStr">
        <is>
          <t>OPM122501</t>
        </is>
      </c>
      <c r="J102" s="2" t="inlineStr">
        <is>
          <t>P060242</t>
        </is>
      </c>
      <c r="K102" s="2" t="inlineStr">
        <is>
          <t>Orange Punch Mimosa</t>
        </is>
      </c>
      <c r="L102" s="2" t="inlineStr">
        <is>
          <t>Ident A + Ident B + Foreign matter</t>
        </is>
      </c>
      <c r="M102" s="6" t="inlineStr">
        <is>
          <t>—</t>
        </is>
      </c>
      <c r="N102" s="2">
        <f>IFERROR(INDEX('CoQ Register'!$B:$B,MATCH("P060242|R",'CoQ Register'!$S:$S,0)),"—")</f>
        <v/>
      </c>
      <c r="O102" s="6" t="inlineStr">
        <is>
          <t>—</t>
        </is>
      </c>
      <c r="P102" s="2" t="inlineStr">
        <is>
          <t>P060242|R</t>
        </is>
      </c>
      <c r="Q102" s="9" t="inlineStr">
        <is>
          <t>not yet issuable — retest assay on file; identification A, B and foreign matter to test at the retest sampling</t>
        </is>
      </c>
    </row>
    <row r="103">
      <c r="A103" s="2">
        <f>IF(C103="yes",COUNT(A$1:A102)+1,"")</f>
        <v/>
      </c>
      <c r="B103" s="3">
        <f>IF(A103&lt;&gt;"","iCoA-PP_26-"&amp;TEXT(A103,"000"),IF(C103="n/a","not needed","— at issue —"))</f>
        <v/>
      </c>
      <c r="C103" s="6" t="inlineStr">
        <is>
          <t>no</t>
        </is>
      </c>
      <c r="D103" s="5">
        <f>IF(A103="","",IF(G103="legacy",DATE(2026,5,15),IF(ISNUMBER(F103),(F103+5)+CHOOSE(WEEKDAY(F103+5,2),0,0,0,0,0,2,1),"")))</f>
        <v/>
      </c>
      <c r="E103" s="5" t="inlineStr">
        <is>
          <t>at retest sampling</t>
        </is>
      </c>
      <c r="F103" s="5">
        <f>IFERROR(INDEX('Batch Dates'!$G:$G,MATCH(J103,'Batch Dates'!$C:$C,0)),IFERROR(INDEX('Batch Dates'!$G:$G,MATCH(I103,'Batch Dates'!$B:$B,0)),""))</f>
        <v/>
      </c>
      <c r="G103" s="2" t="inlineStr">
        <is>
          <t>post-SOP</t>
        </is>
      </c>
      <c r="H103" s="2" t="inlineStr">
        <is>
          <t>retest — re-analysed</t>
        </is>
      </c>
      <c r="I103" s="3" t="inlineStr">
        <is>
          <t>FB012602*</t>
        </is>
      </c>
      <c r="J103" s="2" t="inlineStr">
        <is>
          <t>P060352</t>
        </is>
      </c>
      <c r="K103" s="2" t="inlineStr">
        <is>
          <t>Fat Bastard</t>
        </is>
      </c>
      <c r="L103" s="2" t="inlineStr">
        <is>
          <t>Ident A + Ident B + Foreign matter</t>
        </is>
      </c>
      <c r="M103" s="6" t="inlineStr">
        <is>
          <t>—</t>
        </is>
      </c>
      <c r="N103" s="2">
        <f>IFERROR(INDEX('CoQ Register'!$B:$B,MATCH("P060352|R",'CoQ Register'!$S:$S,0)),"—")</f>
        <v/>
      </c>
      <c r="O103" s="6" t="inlineStr">
        <is>
          <t>—</t>
        </is>
      </c>
      <c r="P103" s="2" t="inlineStr">
        <is>
          <t>P060352|R</t>
        </is>
      </c>
      <c r="Q103" s="9" t="inlineStr">
        <is>
          <t>not yet issuable — retest assay on file; identification A, B and foreign matter to test at the retest sampling</t>
        </is>
      </c>
    </row>
    <row r="104">
      <c r="A104" s="2">
        <f>IF(C104="yes",COUNT(A$1:A103)+1,"")</f>
        <v/>
      </c>
      <c r="B104" s="3">
        <f>IF(A104&lt;&gt;"","iCoA-PP_26-"&amp;TEXT(A104,"000"),IF(C104="n/a","not needed","— at issue —"))</f>
        <v/>
      </c>
      <c r="C104" s="6" t="inlineStr">
        <is>
          <t>no</t>
        </is>
      </c>
      <c r="D104" s="5">
        <f>IF(A104="","",IF(G104="legacy",DATE(2026,5,15),IF(ISNUMBER(F104),(F104+5)+CHOOSE(WEEKDAY(F104+5,2),0,0,0,0,0,2,1),"")))</f>
        <v/>
      </c>
      <c r="E104" s="5" t="inlineStr">
        <is>
          <t>at retest sampling</t>
        </is>
      </c>
      <c r="F104" s="5">
        <f>IFERROR(INDEX('Batch Dates'!$G:$G,MATCH(J104,'Batch Dates'!$C:$C,0)),IFERROR(INDEX('Batch Dates'!$G:$G,MATCH(I104,'Batch Dates'!$B:$B,0)),""))</f>
        <v/>
      </c>
      <c r="G104" s="2" t="inlineStr">
        <is>
          <t>post-SOP</t>
        </is>
      </c>
      <c r="H104" s="2" t="inlineStr">
        <is>
          <t>retest — re-analysed</t>
        </is>
      </c>
      <c r="I104" s="3" t="inlineStr">
        <is>
          <t>JD012603</t>
        </is>
      </c>
      <c r="J104" s="2" t="inlineStr">
        <is>
          <t>P060362</t>
        </is>
      </c>
      <c r="K104" s="2" t="inlineStr"/>
      <c r="L104" s="2" t="inlineStr">
        <is>
          <t>Ident A + Ident B + Foreign matter</t>
        </is>
      </c>
      <c r="M104" s="6" t="inlineStr">
        <is>
          <t>—</t>
        </is>
      </c>
      <c r="N104" s="2">
        <f>IFERROR(INDEX('CoQ Register'!$B:$B,MATCH("P060362|R",'CoQ Register'!$S:$S,0)),"—")</f>
        <v/>
      </c>
      <c r="O104" s="6" t="inlineStr">
        <is>
          <t>—</t>
        </is>
      </c>
      <c r="P104" s="2" t="inlineStr">
        <is>
          <t>P060362|R</t>
        </is>
      </c>
      <c r="Q104" s="9" t="inlineStr">
        <is>
          <t>not yet issuable — retest assay on file; identification A, B and foreign matter to test at the retest sampling</t>
        </is>
      </c>
    </row>
    <row r="105">
      <c r="A105" s="2">
        <f>IF(C105="yes",COUNT(A$1:A104)+1,"")</f>
        <v/>
      </c>
      <c r="B105" s="3">
        <f>IF(A105&lt;&gt;"","iCoA-PP_26-"&amp;TEXT(A105,"000"),IF(C105="n/a","not needed","— at issue —"))</f>
        <v/>
      </c>
      <c r="C105" s="6" t="inlineStr">
        <is>
          <t>no</t>
        </is>
      </c>
      <c r="D105" s="5">
        <f>IF(A105="","",IF(G105="legacy",DATE(2026,5,15),IF(ISNUMBER(F105),(F105+5)+CHOOSE(WEEKDAY(F105+5,2),0,0,0,0,0,2,1),"")))</f>
        <v/>
      </c>
      <c r="E105" s="5" t="inlineStr">
        <is>
          <t>at retest sampling</t>
        </is>
      </c>
      <c r="F105" s="5">
        <f>IFERROR(INDEX('Batch Dates'!$G:$G,MATCH(J105,'Batch Dates'!$C:$C,0)),IFERROR(INDEX('Batch Dates'!$G:$G,MATCH(I105,'Batch Dates'!$B:$B,0)),""))</f>
        <v/>
      </c>
      <c r="G105" s="2" t="inlineStr">
        <is>
          <t>post-SOP</t>
        </is>
      </c>
      <c r="H105" s="2" t="inlineStr">
        <is>
          <t>retest — re-analysed</t>
        </is>
      </c>
      <c r="I105" s="3" t="inlineStr">
        <is>
          <t>JD012603</t>
        </is>
      </c>
      <c r="J105" s="2" t="inlineStr">
        <is>
          <t>P060422</t>
        </is>
      </c>
      <c r="K105" s="2" t="inlineStr"/>
      <c r="L105" s="2" t="inlineStr">
        <is>
          <t>Ident A + Ident B + Foreign matter</t>
        </is>
      </c>
      <c r="M105" s="6" t="inlineStr">
        <is>
          <t>—</t>
        </is>
      </c>
      <c r="N105" s="2">
        <f>IFERROR(INDEX('CoQ Register'!$B:$B,MATCH("P060422|R",'CoQ Register'!$S:$S,0)),"—")</f>
        <v/>
      </c>
      <c r="O105" s="6" t="inlineStr">
        <is>
          <t>—</t>
        </is>
      </c>
      <c r="P105" s="2" t="inlineStr">
        <is>
          <t>P060422|R</t>
        </is>
      </c>
      <c r="Q105" s="9" t="inlineStr">
        <is>
          <t>not yet issuable — retest assay on file; identification A, B and foreign matter to test at the retest sampling</t>
        </is>
      </c>
    </row>
    <row r="106">
      <c r="A106" s="2">
        <f>IF(C106="yes",COUNT(A$1:A105)+1,"")</f>
        <v/>
      </c>
      <c r="B106" s="3">
        <f>IF(A106&lt;&gt;"","iCoA-PP_26-"&amp;TEXT(A106,"000"),IF(C106="n/a","not needed","— at issue —"))</f>
        <v/>
      </c>
      <c r="C106" s="6" t="inlineStr">
        <is>
          <t>no</t>
        </is>
      </c>
      <c r="D106" s="5">
        <f>IF(A106="","",IF(G106="legacy",DATE(2026,5,15),IF(ISNUMBER(F106),(F106+5)+CHOOSE(WEEKDAY(F106+5,2),0,0,0,0,0,2,1),"")))</f>
        <v/>
      </c>
      <c r="E106" s="5" t="inlineStr">
        <is>
          <t>at retest sampling</t>
        </is>
      </c>
      <c r="F106" s="5">
        <f>IFERROR(INDEX('Batch Dates'!$G:$G,MATCH(J106,'Batch Dates'!$C:$C,0)),IFERROR(INDEX('Batch Dates'!$G:$G,MATCH(I106,'Batch Dates'!$B:$B,0)),""))</f>
        <v/>
      </c>
      <c r="G106" s="2" t="inlineStr">
        <is>
          <t>post-SOP</t>
        </is>
      </c>
      <c r="H106" s="2" t="inlineStr">
        <is>
          <t>retest — re-analysed</t>
        </is>
      </c>
      <c r="I106" s="3" t="inlineStr">
        <is>
          <t>GG012603</t>
        </is>
      </c>
      <c r="J106" s="2" t="inlineStr">
        <is>
          <t>P060402</t>
        </is>
      </c>
      <c r="K106" s="2" t="inlineStr">
        <is>
          <t>GorillaGlue</t>
        </is>
      </c>
      <c r="L106" s="2" t="inlineStr">
        <is>
          <t>Ident A + Ident B + Foreign matter</t>
        </is>
      </c>
      <c r="M106" s="6" t="inlineStr">
        <is>
          <t>—</t>
        </is>
      </c>
      <c r="N106" s="2">
        <f>IFERROR(INDEX('CoQ Register'!$B:$B,MATCH("P060402|R",'CoQ Register'!$S:$S,0)),"—")</f>
        <v/>
      </c>
      <c r="O106" s="6" t="inlineStr">
        <is>
          <t>—</t>
        </is>
      </c>
      <c r="P106" s="2" t="inlineStr">
        <is>
          <t>P060402|R</t>
        </is>
      </c>
      <c r="Q106" s="9" t="inlineStr">
        <is>
          <t>not yet issuable — retest assay on file; identification A, B and foreign matter to test at the retest sampling</t>
        </is>
      </c>
    </row>
    <row r="107">
      <c r="A107" s="2">
        <f>IF(C107="yes",COUNT(A$1:A106)+1,"")</f>
        <v/>
      </c>
      <c r="B107" s="3">
        <f>IF(A107&lt;&gt;"","iCoA-PP_26-"&amp;TEXT(A107,"000"),IF(C107="n/a","not needed","— at issue —"))</f>
        <v/>
      </c>
      <c r="C107" s="6" t="inlineStr">
        <is>
          <t>no</t>
        </is>
      </c>
      <c r="D107" s="5">
        <f>IF(A107="","",IF(G107="legacy",DATE(2026,5,15),IF(ISNUMBER(F107),(F107+5)+CHOOSE(WEEKDAY(F107+5,2),0,0,0,0,0,2,1),"")))</f>
        <v/>
      </c>
      <c r="E107" s="5" t="inlineStr">
        <is>
          <t>at retest sampling</t>
        </is>
      </c>
      <c r="F107" s="5">
        <f>IFERROR(INDEX('Batch Dates'!$G:$G,MATCH(J107,'Batch Dates'!$C:$C,0)),IFERROR(INDEX('Batch Dates'!$G:$G,MATCH(I107,'Batch Dates'!$B:$B,0)),""))</f>
        <v/>
      </c>
      <c r="G107" s="2" t="inlineStr">
        <is>
          <t>post-SOP</t>
        </is>
      </c>
      <c r="H107" s="2" t="inlineStr">
        <is>
          <t>retest — re-analysed</t>
        </is>
      </c>
      <c r="I107" s="3" t="inlineStr">
        <is>
          <t>JD012603</t>
        </is>
      </c>
      <c r="J107" s="2" t="inlineStr">
        <is>
          <t>P060412</t>
        </is>
      </c>
      <c r="K107" s="2" t="inlineStr"/>
      <c r="L107" s="2" t="inlineStr">
        <is>
          <t>Ident A + Ident B + Foreign matter</t>
        </is>
      </c>
      <c r="M107" s="6" t="inlineStr">
        <is>
          <t>—</t>
        </is>
      </c>
      <c r="N107" s="2">
        <f>IFERROR(INDEX('CoQ Register'!$B:$B,MATCH("P060412|R",'CoQ Register'!$S:$S,0)),"—")</f>
        <v/>
      </c>
      <c r="O107" s="6" t="inlineStr">
        <is>
          <t>—</t>
        </is>
      </c>
      <c r="P107" s="2" t="inlineStr">
        <is>
          <t>P060412|R</t>
        </is>
      </c>
      <c r="Q107" s="9" t="inlineStr">
        <is>
          <t>not yet issuable — retest assay on file; identification A, B and foreign matter to test at the retest sampling</t>
        </is>
      </c>
    </row>
    <row r="108">
      <c r="A108" s="2">
        <f>IF(C108="yes",COUNT(A$1:A107)+1,"")</f>
        <v/>
      </c>
      <c r="B108" s="3">
        <f>IF(A108&lt;&gt;"","iCoA-PP_26-"&amp;TEXT(A108,"000"),IF(C108="n/a","not needed","— at issue —"))</f>
        <v/>
      </c>
      <c r="C108" s="6" t="inlineStr">
        <is>
          <t>no</t>
        </is>
      </c>
      <c r="D108" s="5">
        <f>IF(A108="","",IF(G108="legacy",DATE(2026,5,15),IF(ISNUMBER(F108),(F108+5)+CHOOSE(WEEKDAY(F108+5,2),0,0,0,0,0,2,1),"")))</f>
        <v/>
      </c>
      <c r="E108" s="5" t="inlineStr">
        <is>
          <t>at retest sampling</t>
        </is>
      </c>
      <c r="F108" s="5">
        <f>IFERROR(INDEX('Batch Dates'!$G:$G,MATCH(J108,'Batch Dates'!$C:$C,0)),IFERROR(INDEX('Batch Dates'!$G:$G,MATCH(I108,'Batch Dates'!$B:$B,0)),""))</f>
        <v/>
      </c>
      <c r="G108" s="2" t="inlineStr">
        <is>
          <t>post-SOP</t>
        </is>
      </c>
      <c r="H108" s="2" t="inlineStr">
        <is>
          <t>retest — re-analysed</t>
        </is>
      </c>
      <c r="I108" s="3" t="inlineStr">
        <is>
          <t>SCR012603</t>
        </is>
      </c>
      <c r="J108" s="2" t="inlineStr">
        <is>
          <t>P060382</t>
        </is>
      </c>
      <c r="K108" s="2" t="inlineStr">
        <is>
          <t>Scrambler</t>
        </is>
      </c>
      <c r="L108" s="2" t="inlineStr">
        <is>
          <t>Ident A + Ident B + Foreign matter</t>
        </is>
      </c>
      <c r="M108" s="6" t="inlineStr">
        <is>
          <t>—</t>
        </is>
      </c>
      <c r="N108" s="2">
        <f>IFERROR(INDEX('CoQ Register'!$B:$B,MATCH("P060382|R",'CoQ Register'!$S:$S,0)),"—")</f>
        <v/>
      </c>
      <c r="O108" s="6" t="inlineStr">
        <is>
          <t>—</t>
        </is>
      </c>
      <c r="P108" s="2" t="inlineStr">
        <is>
          <t>P060382|R</t>
        </is>
      </c>
      <c r="Q108" s="9" t="inlineStr">
        <is>
          <t>not yet issuable — retest assay on file; identification A, B and foreign matter to test at the retest sampling</t>
        </is>
      </c>
    </row>
    <row r="109">
      <c r="A109" s="2">
        <f>IF(C109="yes",COUNT(A$1:A108)+1,"")</f>
        <v/>
      </c>
      <c r="B109" s="3">
        <f>IF(A109&lt;&gt;"","iCoA-PP_26-"&amp;TEXT(A109,"000"),IF(C109="n/a","not needed","— at issue —"))</f>
        <v/>
      </c>
      <c r="C109" s="6" t="inlineStr">
        <is>
          <t>no</t>
        </is>
      </c>
      <c r="D109" s="5">
        <f>IF(A109="","",IF(G109="legacy",DATE(2026,5,15),IF(ISNUMBER(F109),(F109+5)+CHOOSE(WEEKDAY(F109+5,2),0,0,0,0,0,2,1),"")))</f>
        <v/>
      </c>
      <c r="E109" s="5" t="inlineStr">
        <is>
          <t>at retest sampling</t>
        </is>
      </c>
      <c r="F109" s="5">
        <f>IFERROR(INDEX('Batch Dates'!$G:$G,MATCH(J109,'Batch Dates'!$C:$C,0)),IFERROR(INDEX('Batch Dates'!$G:$G,MATCH(I109,'Batch Dates'!$B:$B,0)),""))</f>
        <v/>
      </c>
      <c r="G109" s="2" t="inlineStr">
        <is>
          <t>legacy</t>
        </is>
      </c>
      <c r="H109" s="2" t="inlineStr">
        <is>
          <t>retest — sampled — Tranche 2/3 (potency and mycotoxins pending)</t>
        </is>
      </c>
      <c r="I109" s="3" t="inlineStr">
        <is>
          <t>CJ1024</t>
        </is>
      </c>
      <c r="J109" s="2" t="inlineStr">
        <is>
          <t>N/A — no P batch assigned</t>
        </is>
      </c>
      <c r="K109" s="2" t="inlineStr">
        <is>
          <t>Cap Junky</t>
        </is>
      </c>
      <c r="L109" s="2" t="inlineStr">
        <is>
          <t>Ident A + Ident B + Foreign matter</t>
        </is>
      </c>
      <c r="M109" s="6" t="inlineStr">
        <is>
          <t>—</t>
        </is>
      </c>
      <c r="N109" s="2">
        <f>IFERROR(INDEX('CoQ Register'!$B:$B,MATCH("CJ1024|R",'CoQ Register'!$S:$S,0)),"—")</f>
        <v/>
      </c>
      <c r="O109" s="6" t="inlineStr">
        <is>
          <t>—</t>
        </is>
      </c>
      <c r="P109" s="2" t="inlineStr">
        <is>
          <t>CJ1024|R</t>
        </is>
      </c>
      <c r="Q109" s="9" t="inlineStr">
        <is>
          <t>not yet issuable — retest assay not yet on file</t>
        </is>
      </c>
    </row>
    <row r="110">
      <c r="A110" s="2">
        <f>IF(C110="yes",COUNT(A$1:A109)+1,"")</f>
        <v/>
      </c>
      <c r="B110" s="3">
        <f>IF(A110&lt;&gt;"","iCoA-PP_26-"&amp;TEXT(A110,"000"),IF(C110="n/a","not needed","— at issue —"))</f>
        <v/>
      </c>
      <c r="C110" s="6" t="inlineStr">
        <is>
          <t>no</t>
        </is>
      </c>
      <c r="D110" s="5">
        <f>IF(A110="","",IF(G110="legacy",DATE(2026,5,15),IF(ISNUMBER(F110),(F110+5)+CHOOSE(WEEKDAY(F110+5,2),0,0,0,0,0,2,1),"")))</f>
        <v/>
      </c>
      <c r="E110" s="5" t="inlineStr">
        <is>
          <t>at retest sampling</t>
        </is>
      </c>
      <c r="F110" s="5">
        <f>IFERROR(INDEX('Batch Dates'!$G:$G,MATCH(J110,'Batch Dates'!$C:$C,0)),IFERROR(INDEX('Batch Dates'!$G:$G,MATCH(I110,'Batch Dates'!$B:$B,0)),""))</f>
        <v/>
      </c>
      <c r="G110" s="2" t="inlineStr">
        <is>
          <t>legacy</t>
        </is>
      </c>
      <c r="H110" s="2" t="inlineStr">
        <is>
          <t>retest — not yet sampled</t>
        </is>
      </c>
      <c r="I110" s="3" t="inlineStr">
        <is>
          <t>GG1024</t>
        </is>
      </c>
      <c r="J110" s="2" t="inlineStr">
        <is>
          <t>N/A — no P batch assigned</t>
        </is>
      </c>
      <c r="K110" s="2" t="inlineStr">
        <is>
          <t>Gorilla Glue</t>
        </is>
      </c>
      <c r="L110" s="2" t="inlineStr">
        <is>
          <t>Ident A + Ident B + Foreign matter</t>
        </is>
      </c>
      <c r="M110" s="6" t="inlineStr">
        <is>
          <t>—</t>
        </is>
      </c>
      <c r="N110" s="2">
        <f>IFERROR(INDEX('CoQ Register'!$B:$B,MATCH("GG1024|R",'CoQ Register'!$S:$S,0)),"—")</f>
        <v/>
      </c>
      <c r="O110" s="6" t="inlineStr">
        <is>
          <t>—</t>
        </is>
      </c>
      <c r="P110" s="2" t="inlineStr">
        <is>
          <t>GG1024|R</t>
        </is>
      </c>
      <c r="Q110" s="9" t="inlineStr">
        <is>
          <t>not yet issuable — retest assay not yet on file</t>
        </is>
      </c>
    </row>
    <row r="111">
      <c r="A111" s="2">
        <f>IF(C111="yes",COUNT(A$1:A110)+1,"")</f>
        <v/>
      </c>
      <c r="B111" s="3">
        <f>IF(A111&lt;&gt;"","iCoA-PP_26-"&amp;TEXT(A111,"000"),IF(C111="n/a","not needed","— at issue —"))</f>
        <v/>
      </c>
      <c r="C111" s="6" t="inlineStr">
        <is>
          <t>no</t>
        </is>
      </c>
      <c r="D111" s="5">
        <f>IF(A111="","",IF(G111="legacy",DATE(2026,5,15),IF(ISNUMBER(F111),(F111+5)+CHOOSE(WEEKDAY(F111+5,2),0,0,0,0,0,2,1),"")))</f>
        <v/>
      </c>
      <c r="E111" s="5" t="inlineStr">
        <is>
          <t>at retest sampling</t>
        </is>
      </c>
      <c r="F111" s="5">
        <f>IFERROR(INDEX('Batch Dates'!$G:$G,MATCH(J111,'Batch Dates'!$C:$C,0)),IFERROR(INDEX('Batch Dates'!$G:$G,MATCH(I111,'Batch Dates'!$B:$B,0)),""))</f>
        <v/>
      </c>
      <c r="G111" s="2" t="inlineStr">
        <is>
          <t>legacy</t>
        </is>
      </c>
      <c r="H111" s="2" t="inlineStr">
        <is>
          <t>retest — sampled — Tranche 2/3 (potency and mycotoxins pending)</t>
        </is>
      </c>
      <c r="I111" s="3" t="inlineStr">
        <is>
          <t>GP0824_01</t>
        </is>
      </c>
      <c r="J111" s="2" t="inlineStr">
        <is>
          <t>P050102</t>
        </is>
      </c>
      <c r="K111" s="2" t="inlineStr">
        <is>
          <t>Grape Pie</t>
        </is>
      </c>
      <c r="L111" s="2" t="inlineStr">
        <is>
          <t>Ident A + Ident B + Foreign matter</t>
        </is>
      </c>
      <c r="M111" s="6" t="inlineStr">
        <is>
          <t>—</t>
        </is>
      </c>
      <c r="N111" s="2">
        <f>IFERROR(INDEX('CoQ Register'!$B:$B,MATCH("P050102|R",'CoQ Register'!$S:$S,0)),"—")</f>
        <v/>
      </c>
      <c r="O111" s="6" t="inlineStr">
        <is>
          <t>—</t>
        </is>
      </c>
      <c r="P111" s="2" t="inlineStr">
        <is>
          <t>P050102|R</t>
        </is>
      </c>
      <c r="Q111" s="9" t="inlineStr">
        <is>
          <t>not yet issuable — retest assay not yet on file</t>
        </is>
      </c>
    </row>
    <row r="112">
      <c r="A112" s="2">
        <f>IF(C112="yes",COUNT(A$1:A111)+1,"")</f>
        <v/>
      </c>
      <c r="B112" s="3">
        <f>IF(A112&lt;&gt;"","iCoA-PP_26-"&amp;TEXT(A112,"000"),IF(C112="n/a","not needed","— at issue —"))</f>
        <v/>
      </c>
      <c r="C112" s="6" t="inlineStr">
        <is>
          <t>no</t>
        </is>
      </c>
      <c r="D112" s="5">
        <f>IF(A112="","",IF(G112="legacy",DATE(2026,5,15),IF(ISNUMBER(F112),(F112+5)+CHOOSE(WEEKDAY(F112+5,2),0,0,0,0,0,2,1),"")))</f>
        <v/>
      </c>
      <c r="E112" s="5" t="inlineStr">
        <is>
          <t>at retest sampling</t>
        </is>
      </c>
      <c r="F112" s="5">
        <f>IFERROR(INDEX('Batch Dates'!$G:$G,MATCH(J112,'Batch Dates'!$C:$C,0)),IFERROR(INDEX('Batch Dates'!$G:$G,MATCH(I112,'Batch Dates'!$B:$B,0)),""))</f>
        <v/>
      </c>
      <c r="G112" s="2" t="inlineStr">
        <is>
          <t>legacy</t>
        </is>
      </c>
      <c r="H112" s="2" t="inlineStr">
        <is>
          <t>retest — sampled — Tranche 2/3 (potency and mycotoxins pending)</t>
        </is>
      </c>
      <c r="I112" s="3" t="inlineStr">
        <is>
          <t>MB0824_04</t>
        </is>
      </c>
      <c r="J112" s="2" t="inlineStr">
        <is>
          <t>P050032</t>
        </is>
      </c>
      <c r="K112" s="2" t="inlineStr">
        <is>
          <t>Motor Breath</t>
        </is>
      </c>
      <c r="L112" s="2" t="inlineStr">
        <is>
          <t>Ident A + Ident B + Foreign matter</t>
        </is>
      </c>
      <c r="M112" s="6" t="inlineStr">
        <is>
          <t>—</t>
        </is>
      </c>
      <c r="N112" s="2">
        <f>IFERROR(INDEX('CoQ Register'!$B:$B,MATCH("P050032|R",'CoQ Register'!$S:$S,0)),"—")</f>
        <v/>
      </c>
      <c r="O112" s="6" t="inlineStr">
        <is>
          <t>—</t>
        </is>
      </c>
      <c r="P112" s="2" t="inlineStr">
        <is>
          <t>P050032|R</t>
        </is>
      </c>
      <c r="Q112" s="9" t="inlineStr">
        <is>
          <t>not yet issuable — retest assay not yet on file</t>
        </is>
      </c>
    </row>
    <row r="113">
      <c r="A113" s="2">
        <f>IF(C113="yes",COUNT(A$1:A112)+1,"")</f>
        <v/>
      </c>
      <c r="B113" s="3">
        <f>IF(A113&lt;&gt;"","iCoA-PP_26-"&amp;TEXT(A113,"000"),IF(C113="n/a","not needed","— at issue —"))</f>
        <v/>
      </c>
      <c r="C113" s="6" t="inlineStr">
        <is>
          <t>no</t>
        </is>
      </c>
      <c r="D113" s="5">
        <f>IF(A113="","",IF(G113="legacy",DATE(2026,5,15),IF(ISNUMBER(F113),(F113+5)+CHOOSE(WEEKDAY(F113+5,2),0,0,0,0,0,2,1),"")))</f>
        <v/>
      </c>
      <c r="E113" s="5" t="inlineStr">
        <is>
          <t>at retest sampling</t>
        </is>
      </c>
      <c r="F113" s="5">
        <f>IFERROR(INDEX('Batch Dates'!$G:$G,MATCH(J113,'Batch Dates'!$C:$C,0)),IFERROR(INDEX('Batch Dates'!$G:$G,MATCH(I113,'Batch Dates'!$B:$B,0)),""))</f>
        <v/>
      </c>
      <c r="G113" s="2" t="inlineStr">
        <is>
          <t>legacy</t>
        </is>
      </c>
      <c r="H113" s="2" t="inlineStr">
        <is>
          <t>retest — sampled — Tranche 2/3 (potency and mycotoxins pending)</t>
        </is>
      </c>
      <c r="I113" s="3" t="inlineStr">
        <is>
          <t>GG1024_02</t>
        </is>
      </c>
      <c r="J113" s="2" t="inlineStr">
        <is>
          <t>P050012</t>
        </is>
      </c>
      <c r="K113" s="2" t="inlineStr">
        <is>
          <t>Gorilla Glue</t>
        </is>
      </c>
      <c r="L113" s="2" t="inlineStr">
        <is>
          <t>Ident A + Ident B + Foreign matter</t>
        </is>
      </c>
      <c r="M113" s="6" t="inlineStr">
        <is>
          <t>—</t>
        </is>
      </c>
      <c r="N113" s="2">
        <f>IFERROR(INDEX('CoQ Register'!$B:$B,MATCH("P050012|R",'CoQ Register'!$S:$S,0)),"—")</f>
        <v/>
      </c>
      <c r="O113" s="6" t="inlineStr">
        <is>
          <t>—</t>
        </is>
      </c>
      <c r="P113" s="2" t="inlineStr">
        <is>
          <t>P050012|R</t>
        </is>
      </c>
      <c r="Q113" s="9" t="inlineStr">
        <is>
          <t>not yet issuable — retest assay not yet on file</t>
        </is>
      </c>
    </row>
    <row r="114">
      <c r="A114" s="2">
        <f>IF(C114="yes",COUNT(A$1:A113)+1,"")</f>
        <v/>
      </c>
      <c r="B114" s="3">
        <f>IF(A114&lt;&gt;"","iCoA-PP_26-"&amp;TEXT(A114,"000"),IF(C114="n/a","not needed","— at issue —"))</f>
        <v/>
      </c>
      <c r="C114" s="6" t="inlineStr">
        <is>
          <t>no</t>
        </is>
      </c>
      <c r="D114" s="5">
        <f>IF(A114="","",IF(G114="legacy",DATE(2026,5,15),IF(ISNUMBER(F114),(F114+5)+CHOOSE(WEEKDAY(F114+5,2),0,0,0,0,0,2,1),"")))</f>
        <v/>
      </c>
      <c r="E114" s="5" t="inlineStr">
        <is>
          <t>at retest sampling</t>
        </is>
      </c>
      <c r="F114" s="5">
        <f>IFERROR(INDEX('Batch Dates'!$G:$G,MATCH(J114,'Batch Dates'!$C:$C,0)),IFERROR(INDEX('Batch Dates'!$G:$G,MATCH(I114,'Batch Dates'!$B:$B,0)),""))</f>
        <v/>
      </c>
      <c r="G114" s="2" t="inlineStr">
        <is>
          <t>legacy</t>
        </is>
      </c>
      <c r="H114" s="2" t="inlineStr">
        <is>
          <t>retest — not yet sampled</t>
        </is>
      </c>
      <c r="I114" s="3" t="inlineStr">
        <is>
          <t>OMP1024_01</t>
        </is>
      </c>
      <c r="J114" s="2" t="inlineStr">
        <is>
          <t>P050042</t>
        </is>
      </c>
      <c r="K114" s="2" t="inlineStr">
        <is>
          <t>Orange Punch Mimosa</t>
        </is>
      </c>
      <c r="L114" s="2" t="inlineStr">
        <is>
          <t>Ident A + Ident B + Foreign matter</t>
        </is>
      </c>
      <c r="M114" s="6" t="inlineStr">
        <is>
          <t>—</t>
        </is>
      </c>
      <c r="N114" s="2">
        <f>IFERROR(INDEX('CoQ Register'!$B:$B,MATCH("P050042|R",'CoQ Register'!$S:$S,0)),"—")</f>
        <v/>
      </c>
      <c r="O114" s="6" t="inlineStr">
        <is>
          <t>—</t>
        </is>
      </c>
      <c r="P114" s="2" t="inlineStr">
        <is>
          <t>P050042|R</t>
        </is>
      </c>
      <c r="Q114" s="9" t="inlineStr">
        <is>
          <t>not yet issuable — retest assay not yet on file</t>
        </is>
      </c>
    </row>
    <row r="115">
      <c r="A115" s="2">
        <f>IF(C115="yes",COUNT(A$1:A114)+1,"")</f>
        <v/>
      </c>
      <c r="B115" s="3">
        <f>IF(A115&lt;&gt;"","iCoA-PP_26-"&amp;TEXT(A115,"000"),IF(C115="n/a","not needed","— at issue —"))</f>
        <v/>
      </c>
      <c r="C115" s="6" t="inlineStr">
        <is>
          <t>no</t>
        </is>
      </c>
      <c r="D115" s="5">
        <f>IF(A115="","",IF(G115="legacy",DATE(2026,5,15),IF(ISNUMBER(F115),(F115+5)+CHOOSE(WEEKDAY(F115+5,2),0,0,0,0,0,2,1),"")))</f>
        <v/>
      </c>
      <c r="E115" s="5" t="inlineStr">
        <is>
          <t>at retest sampling</t>
        </is>
      </c>
      <c r="F115" s="5">
        <f>IFERROR(INDEX('Batch Dates'!$G:$G,MATCH(J115,'Batch Dates'!$C:$C,0)),IFERROR(INDEX('Batch Dates'!$G:$G,MATCH(I115,'Batch Dates'!$B:$B,0)),""))</f>
        <v/>
      </c>
      <c r="G115" s="2" t="inlineStr">
        <is>
          <t>legacy</t>
        </is>
      </c>
      <c r="H115" s="2" t="inlineStr">
        <is>
          <t>retest — not yet sampled</t>
        </is>
      </c>
      <c r="I115" s="3" t="inlineStr">
        <is>
          <t>GP0824_03</t>
        </is>
      </c>
      <c r="J115" s="2" t="inlineStr">
        <is>
          <t>P050072</t>
        </is>
      </c>
      <c r="K115" s="2" t="inlineStr">
        <is>
          <t>Grape Pie</t>
        </is>
      </c>
      <c r="L115" s="2" t="inlineStr">
        <is>
          <t>Ident A + Ident B + Foreign matter</t>
        </is>
      </c>
      <c r="M115" s="6" t="inlineStr">
        <is>
          <t>—</t>
        </is>
      </c>
      <c r="N115" s="2">
        <f>IFERROR(INDEX('CoQ Register'!$B:$B,MATCH("P050072|R",'CoQ Register'!$S:$S,0)),"—")</f>
        <v/>
      </c>
      <c r="O115" s="6" t="inlineStr">
        <is>
          <t>—</t>
        </is>
      </c>
      <c r="P115" s="2" t="inlineStr">
        <is>
          <t>P050072|R</t>
        </is>
      </c>
      <c r="Q115" s="9" t="inlineStr">
        <is>
          <t>not yet issuable — retest assay not yet on file</t>
        </is>
      </c>
    </row>
    <row r="116">
      <c r="A116" s="2">
        <f>IF(C116="yes",COUNT(A$1:A115)+1,"")</f>
        <v/>
      </c>
      <c r="B116" s="3">
        <f>IF(A116&lt;&gt;"","iCoA-PP_26-"&amp;TEXT(A116,"000"),IF(C116="n/a","not needed","— at issue —"))</f>
        <v/>
      </c>
      <c r="C116" s="6" t="inlineStr">
        <is>
          <t>no</t>
        </is>
      </c>
      <c r="D116" s="5">
        <f>IF(A116="","",IF(G116="legacy",DATE(2026,5,15),IF(ISNUMBER(F116),(F116+5)+CHOOSE(WEEKDAY(F116+5,2),0,0,0,0,0,2,1),"")))</f>
        <v/>
      </c>
      <c r="E116" s="5" t="inlineStr">
        <is>
          <t>at retest sampling</t>
        </is>
      </c>
      <c r="F116" s="5">
        <f>IFERROR(INDEX('Batch Dates'!$G:$G,MATCH(J116,'Batch Dates'!$C:$C,0)),IFERROR(INDEX('Batch Dates'!$G:$G,MATCH(I116,'Batch Dates'!$B:$B,0)),""))</f>
        <v/>
      </c>
      <c r="G116" s="2" t="inlineStr">
        <is>
          <t>legacy</t>
        </is>
      </c>
      <c r="H116" s="2" t="inlineStr">
        <is>
          <t>retest — not yet sampled</t>
        </is>
      </c>
      <c r="I116" s="3" t="inlineStr">
        <is>
          <t>OPM1024_03</t>
        </is>
      </c>
      <c r="J116" s="2" t="inlineStr">
        <is>
          <t>P050082</t>
        </is>
      </c>
      <c r="K116" s="2" t="inlineStr">
        <is>
          <t>Orange Punch Mimosa</t>
        </is>
      </c>
      <c r="L116" s="2" t="inlineStr">
        <is>
          <t>Ident A + Ident B + Foreign matter</t>
        </is>
      </c>
      <c r="M116" s="6" t="inlineStr">
        <is>
          <t>—</t>
        </is>
      </c>
      <c r="N116" s="2">
        <f>IFERROR(INDEX('CoQ Register'!$B:$B,MATCH("P050082|R",'CoQ Register'!$S:$S,0)),"—")</f>
        <v/>
      </c>
      <c r="O116" s="6" t="inlineStr">
        <is>
          <t>—</t>
        </is>
      </c>
      <c r="P116" s="2" t="inlineStr">
        <is>
          <t>P050082|R</t>
        </is>
      </c>
      <c r="Q116" s="9" t="inlineStr">
        <is>
          <t>not yet issuable — retest assay not yet on file</t>
        </is>
      </c>
    </row>
    <row r="117">
      <c r="A117" s="2">
        <f>IF(C117="yes",COUNT(A$1:A116)+1,"")</f>
        <v/>
      </c>
      <c r="B117" s="3">
        <f>IF(A117&lt;&gt;"","iCoA-PP_26-"&amp;TEXT(A117,"000"),IF(C117="n/a","not needed","— at issue —"))</f>
        <v/>
      </c>
      <c r="C117" s="6" t="inlineStr">
        <is>
          <t>no</t>
        </is>
      </c>
      <c r="D117" s="5">
        <f>IF(A117="","",IF(G117="legacy",DATE(2026,5,15),IF(ISNUMBER(F117),(F117+5)+CHOOSE(WEEKDAY(F117+5,2),0,0,0,0,0,2,1),"")))</f>
        <v/>
      </c>
      <c r="E117" s="5" t="inlineStr">
        <is>
          <t>at retest sampling</t>
        </is>
      </c>
      <c r="F117" s="5">
        <f>IFERROR(INDEX('Batch Dates'!$G:$G,MATCH(J117,'Batch Dates'!$C:$C,0)),IFERROR(INDEX('Batch Dates'!$G:$G,MATCH(I117,'Batch Dates'!$B:$B,0)),""))</f>
        <v/>
      </c>
      <c r="G117" s="2" t="inlineStr">
        <is>
          <t>legacy</t>
        </is>
      </c>
      <c r="H117" s="2" t="inlineStr">
        <is>
          <t>retest — not yet sampled</t>
        </is>
      </c>
      <c r="I117" s="3" t="inlineStr">
        <is>
          <t>MB0824_05</t>
        </is>
      </c>
      <c r="J117" s="2" t="inlineStr">
        <is>
          <t>P050112</t>
        </is>
      </c>
      <c r="K117" s="2" t="inlineStr">
        <is>
          <t>Motor Breath</t>
        </is>
      </c>
      <c r="L117" s="2" t="inlineStr">
        <is>
          <t>Ident A + Ident B + Foreign matter</t>
        </is>
      </c>
      <c r="M117" s="6" t="inlineStr">
        <is>
          <t>—</t>
        </is>
      </c>
      <c r="N117" s="2">
        <f>IFERROR(INDEX('CoQ Register'!$B:$B,MATCH("P050112|R",'CoQ Register'!$S:$S,0)),"—")</f>
        <v/>
      </c>
      <c r="O117" s="6" t="inlineStr">
        <is>
          <t>—</t>
        </is>
      </c>
      <c r="P117" s="2" t="inlineStr">
        <is>
          <t>P050112|R</t>
        </is>
      </c>
      <c r="Q117" s="9" t="inlineStr">
        <is>
          <t>not yet issuable — retest assay not yet on file</t>
        </is>
      </c>
    </row>
    <row r="118">
      <c r="A118" s="2">
        <f>IF(C118="yes",COUNT(A$1:A117)+1,"")</f>
        <v/>
      </c>
      <c r="B118" s="3">
        <f>IF(A118&lt;&gt;"","iCoA-PP_26-"&amp;TEXT(A118,"000"),IF(C118="n/a","not needed","— at issue —"))</f>
        <v/>
      </c>
      <c r="C118" s="6" t="inlineStr">
        <is>
          <t>no</t>
        </is>
      </c>
      <c r="D118" s="5">
        <f>IF(A118="","",IF(G118="legacy",DATE(2026,5,15),IF(ISNUMBER(F118),(F118+5)+CHOOSE(WEEKDAY(F118+5,2),0,0,0,0,0,2,1),"")))</f>
        <v/>
      </c>
      <c r="E118" s="5" t="inlineStr">
        <is>
          <t>at retest sampling</t>
        </is>
      </c>
      <c r="F118" s="5">
        <f>IFERROR(INDEX('Batch Dates'!$G:$G,MATCH(J118,'Batch Dates'!$C:$C,0)),IFERROR(INDEX('Batch Dates'!$G:$G,MATCH(I118,'Batch Dates'!$B:$B,0)),""))</f>
        <v/>
      </c>
      <c r="G118" s="2" t="inlineStr">
        <is>
          <t>legacy</t>
        </is>
      </c>
      <c r="H118" s="2" t="inlineStr">
        <is>
          <t>retest — sampled — Tranche 2/3 (potency and mycotoxins pending)</t>
        </is>
      </c>
      <c r="I118" s="3" t="inlineStr">
        <is>
          <t>OPM052501</t>
        </is>
      </c>
      <c r="J118" s="2" t="inlineStr">
        <is>
          <t>P050132</t>
        </is>
      </c>
      <c r="K118" s="2" t="inlineStr">
        <is>
          <t>Orange Punch Mimosa</t>
        </is>
      </c>
      <c r="L118" s="2" t="inlineStr">
        <is>
          <t>Ident A + Ident B + Foreign matter</t>
        </is>
      </c>
      <c r="M118" s="6" t="inlineStr">
        <is>
          <t>—</t>
        </is>
      </c>
      <c r="N118" s="2">
        <f>IFERROR(INDEX('CoQ Register'!$B:$B,MATCH("P050132|R",'CoQ Register'!$S:$S,0)),"—")</f>
        <v/>
      </c>
      <c r="O118" s="6" t="inlineStr">
        <is>
          <t>—</t>
        </is>
      </c>
      <c r="P118" s="2" t="inlineStr">
        <is>
          <t>P050132|R</t>
        </is>
      </c>
      <c r="Q118" s="9" t="inlineStr">
        <is>
          <t>not yet issuable — retest assay not yet on file</t>
        </is>
      </c>
    </row>
    <row r="119">
      <c r="A119" s="2">
        <f>IF(C119="yes",COUNT(A$1:A118)+1,"")</f>
        <v/>
      </c>
      <c r="B119" s="3">
        <f>IF(A119&lt;&gt;"","iCoA-PP_26-"&amp;TEXT(A119,"000"),IF(C119="n/a","not needed","— at issue —"))</f>
        <v/>
      </c>
      <c r="C119" s="6" t="inlineStr">
        <is>
          <t>no</t>
        </is>
      </c>
      <c r="D119" s="5">
        <f>IF(A119="","",IF(G119="legacy",DATE(2026,5,15),IF(ISNUMBER(F119),(F119+5)+CHOOSE(WEEKDAY(F119+5,2),0,0,0,0,0,2,1),"")))</f>
        <v/>
      </c>
      <c r="E119" s="5" t="inlineStr">
        <is>
          <t>at retest sampling</t>
        </is>
      </c>
      <c r="F119" s="5">
        <f>IFERROR(INDEX('Batch Dates'!$G:$G,MATCH(J119,'Batch Dates'!$C:$C,0)),IFERROR(INDEX('Batch Dates'!$G:$G,MATCH(I119,'Batch Dates'!$B:$B,0)),""))</f>
        <v/>
      </c>
      <c r="G119" s="2" t="inlineStr">
        <is>
          <t>legacy</t>
        </is>
      </c>
      <c r="H119" s="2" t="inlineStr">
        <is>
          <t>retest — sampled — Tranche 2/3 (potency and mycotoxins pending)</t>
        </is>
      </c>
      <c r="I119" s="3" t="inlineStr">
        <is>
          <t>CJ052501/02</t>
        </is>
      </c>
      <c r="J119" s="2" t="inlineStr">
        <is>
          <t>P050172</t>
        </is>
      </c>
      <c r="K119" s="2" t="inlineStr">
        <is>
          <t>Cap Junky</t>
        </is>
      </c>
      <c r="L119" s="2" t="inlineStr">
        <is>
          <t>Ident A + Ident B + Foreign matter</t>
        </is>
      </c>
      <c r="M119" s="6" t="inlineStr">
        <is>
          <t>—</t>
        </is>
      </c>
      <c r="N119" s="2">
        <f>IFERROR(INDEX('CoQ Register'!$B:$B,MATCH("P050172|R",'CoQ Register'!$S:$S,0)),"—")</f>
        <v/>
      </c>
      <c r="O119" s="6" t="inlineStr">
        <is>
          <t>—</t>
        </is>
      </c>
      <c r="P119" s="2" t="inlineStr">
        <is>
          <t>P050172|R</t>
        </is>
      </c>
      <c r="Q119" s="9" t="inlineStr">
        <is>
          <t>not yet issuable — retest assay not yet on file</t>
        </is>
      </c>
    </row>
    <row r="120">
      <c r="A120" s="2">
        <f>IF(C120="yes",COUNT(A$1:A119)+1,"")</f>
        <v/>
      </c>
      <c r="B120" s="3">
        <f>IF(A120&lt;&gt;"","iCoA-PP_26-"&amp;TEXT(A120,"000"),IF(C120="n/a","not needed","— at issue —"))</f>
        <v/>
      </c>
      <c r="C120" s="6" t="inlineStr">
        <is>
          <t>no</t>
        </is>
      </c>
      <c r="D120" s="5">
        <f>IF(A120="","",IF(G120="legacy",DATE(2026,5,15),IF(ISNUMBER(F120),(F120+5)+CHOOSE(WEEKDAY(F120+5,2),0,0,0,0,0,2,1),"")))</f>
        <v/>
      </c>
      <c r="E120" s="5" t="inlineStr">
        <is>
          <t>at retest sampling</t>
        </is>
      </c>
      <c r="F120" s="5">
        <f>IFERROR(INDEX('Batch Dates'!$G:$G,MATCH(J120,'Batch Dates'!$C:$C,0)),IFERROR(INDEX('Batch Dates'!$G:$G,MATCH(I120,'Batch Dates'!$B:$B,0)),""))</f>
        <v/>
      </c>
      <c r="G120" s="2" t="inlineStr">
        <is>
          <t>legacy</t>
        </is>
      </c>
      <c r="H120" s="2" t="inlineStr">
        <is>
          <t>retest — not yet sampled</t>
        </is>
      </c>
      <c r="I120" s="3" t="inlineStr">
        <is>
          <t>HPA052501</t>
        </is>
      </c>
      <c r="J120" s="2" t="inlineStr">
        <is>
          <t>P050182</t>
        </is>
      </c>
      <c r="K120" s="2" t="inlineStr">
        <is>
          <t>High Pro Amnesia</t>
        </is>
      </c>
      <c r="L120" s="2" t="inlineStr">
        <is>
          <t>Ident A + Ident B + Foreign matter</t>
        </is>
      </c>
      <c r="M120" s="6" t="inlineStr">
        <is>
          <t>—</t>
        </is>
      </c>
      <c r="N120" s="2">
        <f>IFERROR(INDEX('CoQ Register'!$B:$B,MATCH("P050182|R",'CoQ Register'!$S:$S,0)),"—")</f>
        <v/>
      </c>
      <c r="O120" s="6" t="inlineStr">
        <is>
          <t>—</t>
        </is>
      </c>
      <c r="P120" s="2" t="inlineStr">
        <is>
          <t>P050182|R</t>
        </is>
      </c>
      <c r="Q120" s="9" t="inlineStr">
        <is>
          <t>not yet issuable — retest assay not yet on file</t>
        </is>
      </c>
    </row>
    <row r="121">
      <c r="A121" s="2">
        <f>IF(C121="yes",COUNT(A$1:A120)+1,"")</f>
        <v/>
      </c>
      <c r="B121" s="3">
        <f>IF(A121&lt;&gt;"","iCoA-PP_26-"&amp;TEXT(A121,"000"),IF(C121="n/a","not needed","— at issue —"))</f>
        <v/>
      </c>
      <c r="C121" s="6" t="inlineStr">
        <is>
          <t>no</t>
        </is>
      </c>
      <c r="D121" s="5">
        <f>IF(A121="","",IF(G121="legacy",DATE(2026,5,15),IF(ISNUMBER(F121),(F121+5)+CHOOSE(WEEKDAY(F121+5,2),0,0,0,0,0,2,1),"")))</f>
        <v/>
      </c>
      <c r="E121" s="5" t="inlineStr">
        <is>
          <t>at retest sampling</t>
        </is>
      </c>
      <c r="F121" s="5">
        <f>IFERROR(INDEX('Batch Dates'!$G:$G,MATCH(J121,'Batch Dates'!$C:$C,0)),IFERROR(INDEX('Batch Dates'!$G:$G,MATCH(I121,'Batch Dates'!$B:$B,0)),""))</f>
        <v/>
      </c>
      <c r="G121" s="2" t="inlineStr">
        <is>
          <t>legacy</t>
        </is>
      </c>
      <c r="H121" s="2" t="inlineStr">
        <is>
          <t>retest — sampled — Tranche 2/3 (potency and mycotoxins pending)</t>
        </is>
      </c>
      <c r="I121" s="3" t="inlineStr">
        <is>
          <t>BSS052501</t>
        </is>
      </c>
      <c r="J121" s="2" t="inlineStr">
        <is>
          <t>P050192</t>
        </is>
      </c>
      <c r="K121" s="2" t="inlineStr">
        <is>
          <t>Sleepy Joe</t>
        </is>
      </c>
      <c r="L121" s="2" t="inlineStr">
        <is>
          <t>Ident A + Ident B + Foreign matter</t>
        </is>
      </c>
      <c r="M121" s="6" t="inlineStr">
        <is>
          <t>—</t>
        </is>
      </c>
      <c r="N121" s="2">
        <f>IFERROR(INDEX('CoQ Register'!$B:$B,MATCH("P050192|R",'CoQ Register'!$S:$S,0)),"—")</f>
        <v/>
      </c>
      <c r="O121" s="6" t="inlineStr">
        <is>
          <t>—</t>
        </is>
      </c>
      <c r="P121" s="2" t="inlineStr">
        <is>
          <t>P050192|R</t>
        </is>
      </c>
      <c r="Q121" s="9" t="inlineStr">
        <is>
          <t>not yet issuable — retest assay not yet on file</t>
        </is>
      </c>
    </row>
    <row r="122">
      <c r="A122" s="2">
        <f>IF(C122="yes",COUNT(A$1:A121)+1,"")</f>
        <v/>
      </c>
      <c r="B122" s="3">
        <f>IF(A122&lt;&gt;"","iCoA-PP_26-"&amp;TEXT(A122,"000"),IF(C122="n/a","not needed","— at issue —"))</f>
        <v/>
      </c>
      <c r="C122" s="6" t="inlineStr">
        <is>
          <t>no</t>
        </is>
      </c>
      <c r="D122" s="5">
        <f>IF(A122="","",IF(G122="legacy",DATE(2026,5,15),IF(ISNUMBER(F122),(F122+5)+CHOOSE(WEEKDAY(F122+5,2),0,0,0,0,0,2,1),"")))</f>
        <v/>
      </c>
      <c r="E122" s="5" t="inlineStr">
        <is>
          <t>at retest sampling</t>
        </is>
      </c>
      <c r="F122" s="5">
        <f>IFERROR(INDEX('Batch Dates'!$G:$G,MATCH(J122,'Batch Dates'!$C:$C,0)),IFERROR(INDEX('Batch Dates'!$G:$G,MATCH(I122,'Batch Dates'!$B:$B,0)),""))</f>
        <v/>
      </c>
      <c r="G122" s="2" t="inlineStr">
        <is>
          <t>legacy</t>
        </is>
      </c>
      <c r="H122" s="2" t="inlineStr">
        <is>
          <t>retest — not yet sampled</t>
        </is>
      </c>
      <c r="I122" s="3" t="inlineStr">
        <is>
          <t>CJ062501/1</t>
        </is>
      </c>
      <c r="J122" s="2" t="inlineStr">
        <is>
          <t>P050222</t>
        </is>
      </c>
      <c r="K122" s="2" t="inlineStr">
        <is>
          <t>Cap Junkie</t>
        </is>
      </c>
      <c r="L122" s="2" t="inlineStr">
        <is>
          <t>Ident A + Ident B + Foreign matter</t>
        </is>
      </c>
      <c r="M122" s="6" t="inlineStr">
        <is>
          <t>—</t>
        </is>
      </c>
      <c r="N122" s="2">
        <f>IFERROR(INDEX('CoQ Register'!$B:$B,MATCH("P050222|R",'CoQ Register'!$S:$S,0)),"—")</f>
        <v/>
      </c>
      <c r="O122" s="6" t="inlineStr">
        <is>
          <t>—</t>
        </is>
      </c>
      <c r="P122" s="2" t="inlineStr">
        <is>
          <t>P050222|R</t>
        </is>
      </c>
      <c r="Q122" s="9" t="inlineStr">
        <is>
          <t>not yet issuable — retest assay not yet on file</t>
        </is>
      </c>
    </row>
    <row r="123">
      <c r="A123" s="2">
        <f>IF(C123="yes",COUNT(A$1:A122)+1,"")</f>
        <v/>
      </c>
      <c r="B123" s="3">
        <f>IF(A123&lt;&gt;"","iCoA-PP_26-"&amp;TEXT(A123,"000"),IF(C123="n/a","not needed","— at issue —"))</f>
        <v/>
      </c>
      <c r="C123" s="6" t="inlineStr">
        <is>
          <t>no</t>
        </is>
      </c>
      <c r="D123" s="5">
        <f>IF(A123="","",IF(G123="legacy",DATE(2026,5,15),IF(ISNUMBER(F123),(F123+5)+CHOOSE(WEEKDAY(F123+5,2),0,0,0,0,0,2,1),"")))</f>
        <v/>
      </c>
      <c r="E123" s="5" t="inlineStr">
        <is>
          <t>at retest sampling</t>
        </is>
      </c>
      <c r="F123" s="5">
        <f>IFERROR(INDEX('Batch Dates'!$G:$G,MATCH(J123,'Batch Dates'!$C:$C,0)),IFERROR(INDEX('Batch Dates'!$G:$G,MATCH(I123,'Batch Dates'!$B:$B,0)),""))</f>
        <v/>
      </c>
      <c r="G123" s="2" t="inlineStr">
        <is>
          <t>legacy</t>
        </is>
      </c>
      <c r="H123" s="2" t="inlineStr">
        <is>
          <t>retest — sampled — Tranche 2/3 (potency and mycotoxins pending)</t>
        </is>
      </c>
      <c r="I123" s="3" t="inlineStr">
        <is>
          <t>CJ072501</t>
        </is>
      </c>
      <c r="J123" s="2" t="inlineStr">
        <is>
          <t>P050252</t>
        </is>
      </c>
      <c r="K123" s="2" t="inlineStr">
        <is>
          <t>Cap Junky</t>
        </is>
      </c>
      <c r="L123" s="2" t="inlineStr">
        <is>
          <t>Ident A + Ident B + Foreign matter</t>
        </is>
      </c>
      <c r="M123" s="6" t="inlineStr">
        <is>
          <t>—</t>
        </is>
      </c>
      <c r="N123" s="2">
        <f>IFERROR(INDEX('CoQ Register'!$B:$B,MATCH("P050252|R",'CoQ Register'!$S:$S,0)),"—")</f>
        <v/>
      </c>
      <c r="O123" s="6" t="inlineStr">
        <is>
          <t>—</t>
        </is>
      </c>
      <c r="P123" s="2" t="inlineStr">
        <is>
          <t>P050252|R</t>
        </is>
      </c>
      <c r="Q123" s="9" t="inlineStr">
        <is>
          <t>not yet issuable — retest assay not yet on file</t>
        </is>
      </c>
    </row>
    <row r="124">
      <c r="A124" s="2">
        <f>IF(C124="yes",COUNT(A$1:A123)+1,"")</f>
        <v/>
      </c>
      <c r="B124" s="3">
        <f>IF(A124&lt;&gt;"","iCoA-PP_26-"&amp;TEXT(A124,"000"),IF(C124="n/a","not needed","— at issue —"))</f>
        <v/>
      </c>
      <c r="C124" s="6" t="inlineStr">
        <is>
          <t>no</t>
        </is>
      </c>
      <c r="D124" s="5">
        <f>IF(A124="","",IF(G124="legacy",DATE(2026,5,15),IF(ISNUMBER(F124),(F124+5)+CHOOSE(WEEKDAY(F124+5,2),0,0,0,0,0,2,1),"")))</f>
        <v/>
      </c>
      <c r="E124" s="5" t="inlineStr">
        <is>
          <t>at retest sampling</t>
        </is>
      </c>
      <c r="F124" s="5">
        <f>IFERROR(INDEX('Batch Dates'!$G:$G,MATCH(J124,'Batch Dates'!$C:$C,0)),IFERROR(INDEX('Batch Dates'!$G:$G,MATCH(I124,'Batch Dates'!$B:$B,0)),""))</f>
        <v/>
      </c>
      <c r="G124" s="2" t="inlineStr">
        <is>
          <t>legacy</t>
        </is>
      </c>
      <c r="H124" s="2" t="inlineStr">
        <is>
          <t>retest — sampled — Tranche 2/3 (potency and mycotoxins pending)</t>
        </is>
      </c>
      <c r="I124" s="3" t="inlineStr">
        <is>
          <t>WC072501</t>
        </is>
      </c>
      <c r="J124" s="2" t="inlineStr">
        <is>
          <t>P050262</t>
        </is>
      </c>
      <c r="K124" s="2" t="inlineStr">
        <is>
          <t>Wedding Crusher</t>
        </is>
      </c>
      <c r="L124" s="2" t="inlineStr">
        <is>
          <t>Ident A + Ident B + Foreign matter</t>
        </is>
      </c>
      <c r="M124" s="6" t="inlineStr">
        <is>
          <t>—</t>
        </is>
      </c>
      <c r="N124" s="2">
        <f>IFERROR(INDEX('CoQ Register'!$B:$B,MATCH("P050262|R",'CoQ Register'!$S:$S,0)),"—")</f>
        <v/>
      </c>
      <c r="O124" s="6" t="inlineStr">
        <is>
          <t>—</t>
        </is>
      </c>
      <c r="P124" s="2" t="inlineStr">
        <is>
          <t>P050262|R</t>
        </is>
      </c>
      <c r="Q124" s="9" t="inlineStr">
        <is>
          <t>not yet issuable — retest assay not yet on file</t>
        </is>
      </c>
    </row>
    <row r="125">
      <c r="A125" s="2">
        <f>IF(C125="yes",COUNT(A$1:A124)+1,"")</f>
        <v/>
      </c>
      <c r="B125" s="3">
        <f>IF(A125&lt;&gt;"","iCoA-PP_26-"&amp;TEXT(A125,"000"),IF(C125="n/a","not needed","— at issue —"))</f>
        <v/>
      </c>
      <c r="C125" s="6" t="inlineStr">
        <is>
          <t>no</t>
        </is>
      </c>
      <c r="D125" s="5">
        <f>IF(A125="","",IF(G125="legacy",DATE(2026,5,15),IF(ISNUMBER(F125),(F125+5)+CHOOSE(WEEKDAY(F125+5,2),0,0,0,0,0,2,1),"")))</f>
        <v/>
      </c>
      <c r="E125" s="5" t="inlineStr">
        <is>
          <t>at retest sampling</t>
        </is>
      </c>
      <c r="F125" s="5">
        <f>IFERROR(INDEX('Batch Dates'!$G:$G,MATCH(J125,'Batch Dates'!$C:$C,0)),IFERROR(INDEX('Batch Dates'!$G:$G,MATCH(I125,'Batch Dates'!$B:$B,0)),""))</f>
        <v/>
      </c>
      <c r="G125" s="2" t="inlineStr">
        <is>
          <t>legacy</t>
        </is>
      </c>
      <c r="H125" s="2" t="inlineStr">
        <is>
          <t>retest — not yet sampled</t>
        </is>
      </c>
      <c r="I125" s="3" t="inlineStr">
        <is>
          <t>CLE072501</t>
        </is>
      </c>
      <c r="J125" s="2" t="inlineStr">
        <is>
          <t>P050282</t>
        </is>
      </c>
      <c r="K125" s="2" t="inlineStr">
        <is>
          <t>Clemosa a bud</t>
        </is>
      </c>
      <c r="L125" s="2" t="inlineStr">
        <is>
          <t>Ident A + Ident B + Foreign matter</t>
        </is>
      </c>
      <c r="M125" s="6" t="inlineStr">
        <is>
          <t>—</t>
        </is>
      </c>
      <c r="N125" s="2">
        <f>IFERROR(INDEX('CoQ Register'!$B:$B,MATCH("P050282|R",'CoQ Register'!$S:$S,0)),"—")</f>
        <v/>
      </c>
      <c r="O125" s="6" t="inlineStr">
        <is>
          <t>—</t>
        </is>
      </c>
      <c r="P125" s="2" t="inlineStr">
        <is>
          <t>P050282|R</t>
        </is>
      </c>
      <c r="Q125" s="9" t="inlineStr">
        <is>
          <t>not yet issuable — retest assay not yet on file</t>
        </is>
      </c>
    </row>
    <row r="126">
      <c r="A126" s="2">
        <f>IF(C126="yes",COUNT(A$1:A125)+1,"")</f>
        <v/>
      </c>
      <c r="B126" s="3">
        <f>IF(A126&lt;&gt;"","iCoA-PP_26-"&amp;TEXT(A126,"000"),IF(C126="n/a","not needed","— at issue —"))</f>
        <v/>
      </c>
      <c r="C126" s="6" t="inlineStr">
        <is>
          <t>no</t>
        </is>
      </c>
      <c r="D126" s="5">
        <f>IF(A126="","",IF(G126="legacy",DATE(2026,5,15),IF(ISNUMBER(F126),(F126+5)+CHOOSE(WEEKDAY(F126+5,2),0,0,0,0,0,2,1),"")))</f>
        <v/>
      </c>
      <c r="E126" s="5" t="inlineStr">
        <is>
          <t>at retest sampling</t>
        </is>
      </c>
      <c r="F126" s="5">
        <f>IFERROR(INDEX('Batch Dates'!$G:$G,MATCH(J126,'Batch Dates'!$C:$C,0)),IFERROR(INDEX('Batch Dates'!$G:$G,MATCH(I126,'Batch Dates'!$B:$B,0)),""))</f>
        <v/>
      </c>
      <c r="G126" s="2" t="inlineStr">
        <is>
          <t>legacy</t>
        </is>
      </c>
      <c r="H126" s="2" t="inlineStr">
        <is>
          <t>retest — not yet sampled</t>
        </is>
      </c>
      <c r="I126" s="3" t="inlineStr">
        <is>
          <t>GP072501/2</t>
        </is>
      </c>
      <c r="J126" s="2" t="inlineStr">
        <is>
          <t>P050302</t>
        </is>
      </c>
      <c r="K126" s="2" t="inlineStr">
        <is>
          <t>Grape Pie</t>
        </is>
      </c>
      <c r="L126" s="2" t="inlineStr">
        <is>
          <t>Ident A + Ident B + Foreign matter</t>
        </is>
      </c>
      <c r="M126" s="6" t="inlineStr">
        <is>
          <t>—</t>
        </is>
      </c>
      <c r="N126" s="2">
        <f>IFERROR(INDEX('CoQ Register'!$B:$B,MATCH("P050302|R",'CoQ Register'!$S:$S,0)),"—")</f>
        <v/>
      </c>
      <c r="O126" s="6" t="inlineStr">
        <is>
          <t>—</t>
        </is>
      </c>
      <c r="P126" s="2" t="inlineStr">
        <is>
          <t>P050302|R</t>
        </is>
      </c>
      <c r="Q126" s="9" t="inlineStr">
        <is>
          <t>not yet issuable — retest assay not yet on file</t>
        </is>
      </c>
    </row>
    <row r="127">
      <c r="A127" s="2">
        <f>IF(C127="yes",COUNT(A$1:A126)+1,"")</f>
        <v/>
      </c>
      <c r="B127" s="3">
        <f>IF(A127&lt;&gt;"","iCoA-PP_26-"&amp;TEXT(A127,"000"),IF(C127="n/a","not needed","— at issue —"))</f>
        <v/>
      </c>
      <c r="C127" s="6" t="inlineStr">
        <is>
          <t>no</t>
        </is>
      </c>
      <c r="D127" s="5">
        <f>IF(A127="","",IF(G127="legacy",DATE(2026,5,15),IF(ISNUMBER(F127),(F127+5)+CHOOSE(WEEKDAY(F127+5,2),0,0,0,0,0,2,1),"")))</f>
        <v/>
      </c>
      <c r="E127" s="5" t="inlineStr">
        <is>
          <t>at retest sampling</t>
        </is>
      </c>
      <c r="F127" s="5">
        <f>IFERROR(INDEX('Batch Dates'!$G:$G,MATCH(J127,'Batch Dates'!$C:$C,0)),IFERROR(INDEX('Batch Dates'!$G:$G,MATCH(I127,'Batch Dates'!$B:$B,0)),""))</f>
        <v/>
      </c>
      <c r="G127" s="2" t="inlineStr">
        <is>
          <t>legacy</t>
        </is>
      </c>
      <c r="H127" s="2" t="inlineStr">
        <is>
          <t>retest — not yet sampled</t>
        </is>
      </c>
      <c r="I127" s="3" t="inlineStr">
        <is>
          <t>GP082501/1</t>
        </is>
      </c>
      <c r="J127" s="2" t="inlineStr">
        <is>
          <t>P050312</t>
        </is>
      </c>
      <c r="K127" s="2" t="inlineStr">
        <is>
          <t>Grape Pie</t>
        </is>
      </c>
      <c r="L127" s="2" t="inlineStr">
        <is>
          <t>Ident A + Ident B + Foreign matter</t>
        </is>
      </c>
      <c r="M127" s="6" t="inlineStr">
        <is>
          <t>—</t>
        </is>
      </c>
      <c r="N127" s="2">
        <f>IFERROR(INDEX('CoQ Register'!$B:$B,MATCH("P050312|R",'CoQ Register'!$S:$S,0)),"—")</f>
        <v/>
      </c>
      <c r="O127" s="6" t="inlineStr">
        <is>
          <t>—</t>
        </is>
      </c>
      <c r="P127" s="2" t="inlineStr">
        <is>
          <t>P050312|R</t>
        </is>
      </c>
      <c r="Q127" s="9" t="inlineStr">
        <is>
          <t>not yet issuable — retest assay not yet on file</t>
        </is>
      </c>
    </row>
    <row r="128">
      <c r="A128" s="2">
        <f>IF(C128="yes",COUNT(A$1:A127)+1,"")</f>
        <v/>
      </c>
      <c r="B128" s="3">
        <f>IF(A128&lt;&gt;"","iCoA-PP_26-"&amp;TEXT(A128,"000"),IF(C128="n/a","not needed","— at issue —"))</f>
        <v/>
      </c>
      <c r="C128" s="6" t="inlineStr">
        <is>
          <t>no</t>
        </is>
      </c>
      <c r="D128" s="5">
        <f>IF(A128="","",IF(G128="legacy",DATE(2026,5,15),IF(ISNUMBER(F128),(F128+5)+CHOOSE(WEEKDAY(F128+5,2),0,0,0,0,0,2,1),"")))</f>
        <v/>
      </c>
      <c r="E128" s="5" t="inlineStr">
        <is>
          <t>at retest sampling</t>
        </is>
      </c>
      <c r="F128" s="5">
        <f>IFERROR(INDEX('Batch Dates'!$G:$G,MATCH(J128,'Batch Dates'!$C:$C,0)),IFERROR(INDEX('Batch Dates'!$G:$G,MATCH(I128,'Batch Dates'!$B:$B,0)),""))</f>
        <v/>
      </c>
      <c r="G128" s="2" t="inlineStr">
        <is>
          <t>legacy</t>
        </is>
      </c>
      <c r="H128" s="2" t="inlineStr">
        <is>
          <t>retest — not yet sampled</t>
        </is>
      </c>
      <c r="I128" s="3" t="inlineStr">
        <is>
          <t>WC082501</t>
        </is>
      </c>
      <c r="J128" s="2" t="inlineStr">
        <is>
          <t>P060012</t>
        </is>
      </c>
      <c r="K128" s="2" t="inlineStr">
        <is>
          <t>Wedding Crasher</t>
        </is>
      </c>
      <c r="L128" s="2" t="inlineStr">
        <is>
          <t>Ident A + Ident B + Foreign matter</t>
        </is>
      </c>
      <c r="M128" s="6" t="inlineStr">
        <is>
          <t>—</t>
        </is>
      </c>
      <c r="N128" s="2">
        <f>IFERROR(INDEX('CoQ Register'!$B:$B,MATCH("P060012|R",'CoQ Register'!$S:$S,0)),"—")</f>
        <v/>
      </c>
      <c r="O128" s="6" t="inlineStr">
        <is>
          <t>—</t>
        </is>
      </c>
      <c r="P128" s="2" t="inlineStr">
        <is>
          <t>P060012|R</t>
        </is>
      </c>
      <c r="Q128" s="9" t="inlineStr">
        <is>
          <t>not yet issuable — retest assay not yet on file</t>
        </is>
      </c>
    </row>
    <row r="129">
      <c r="A129" s="2">
        <f>IF(C129="yes",COUNT(A$1:A128)+1,"")</f>
        <v/>
      </c>
      <c r="B129" s="3">
        <f>IF(A129&lt;&gt;"","iCoA-PP_26-"&amp;TEXT(A129,"000"),IF(C129="n/a","not needed","— at issue —"))</f>
        <v/>
      </c>
      <c r="C129" s="6" t="inlineStr">
        <is>
          <t>no</t>
        </is>
      </c>
      <c r="D129" s="5">
        <f>IF(A129="","",IF(G129="legacy",DATE(2026,5,15),IF(ISNUMBER(F129),(F129+5)+CHOOSE(WEEKDAY(F129+5,2),0,0,0,0,0,2,1),"")))</f>
        <v/>
      </c>
      <c r="E129" s="5" t="inlineStr">
        <is>
          <t>at retest sampling</t>
        </is>
      </c>
      <c r="F129" s="5">
        <f>IFERROR(INDEX('Batch Dates'!$G:$G,MATCH(J129,'Batch Dates'!$C:$C,0)),IFERROR(INDEX('Batch Dates'!$G:$G,MATCH(I129,'Batch Dates'!$B:$B,0)),""))</f>
        <v/>
      </c>
      <c r="G129" s="2" t="inlineStr">
        <is>
          <t>legacy</t>
        </is>
      </c>
      <c r="H129" s="2" t="inlineStr">
        <is>
          <t>retest — not yet sampled</t>
        </is>
      </c>
      <c r="I129" s="3" t="inlineStr">
        <is>
          <t>CJ082501/1</t>
        </is>
      </c>
      <c r="J129" s="2" t="inlineStr">
        <is>
          <t>P060022</t>
        </is>
      </c>
      <c r="K129" s="2" t="inlineStr">
        <is>
          <t>Cap Junky</t>
        </is>
      </c>
      <c r="L129" s="2" t="inlineStr">
        <is>
          <t>Ident A + Ident B + Foreign matter</t>
        </is>
      </c>
      <c r="M129" s="6" t="inlineStr">
        <is>
          <t>—</t>
        </is>
      </c>
      <c r="N129" s="2">
        <f>IFERROR(INDEX('CoQ Register'!$B:$B,MATCH("P060022|R",'CoQ Register'!$S:$S,0)),"—")</f>
        <v/>
      </c>
      <c r="O129" s="6" t="inlineStr">
        <is>
          <t>—</t>
        </is>
      </c>
      <c r="P129" s="2" t="inlineStr">
        <is>
          <t>P060022|R</t>
        </is>
      </c>
      <c r="Q129" s="9" t="inlineStr">
        <is>
          <t>not yet issuable — retest assay not yet on file</t>
        </is>
      </c>
    </row>
    <row r="130">
      <c r="A130" s="2">
        <f>IF(C130="yes",COUNT(A$1:A129)+1,"")</f>
        <v/>
      </c>
      <c r="B130" s="3">
        <f>IF(A130&lt;&gt;"","iCoA-PP_26-"&amp;TEXT(A130,"000"),IF(C130="n/a","not needed","— at issue —"))</f>
        <v/>
      </c>
      <c r="C130" s="6" t="inlineStr">
        <is>
          <t>no</t>
        </is>
      </c>
      <c r="D130" s="5">
        <f>IF(A130="","",IF(G130="legacy",DATE(2026,5,15),IF(ISNUMBER(F130),(F130+5)+CHOOSE(WEEKDAY(F130+5,2),0,0,0,0,0,2,1),"")))</f>
        <v/>
      </c>
      <c r="E130" s="5" t="inlineStr">
        <is>
          <t>at retest sampling</t>
        </is>
      </c>
      <c r="F130" s="5">
        <f>IFERROR(INDEX('Batch Dates'!$G:$G,MATCH(J130,'Batch Dates'!$C:$C,0)),IFERROR(INDEX('Batch Dates'!$G:$G,MATCH(I130,'Batch Dates'!$B:$B,0)),""))</f>
        <v/>
      </c>
      <c r="G130" s="2" t="inlineStr">
        <is>
          <t>legacy</t>
        </is>
      </c>
      <c r="H130" s="2" t="inlineStr">
        <is>
          <t>retest — sampled — Tranche 2/3 (potency and mycotoxins pending)</t>
        </is>
      </c>
      <c r="I130" s="3" t="inlineStr">
        <is>
          <t>GP072501/1</t>
        </is>
      </c>
      <c r="J130" s="2" t="inlineStr">
        <is>
          <t>P050292</t>
        </is>
      </c>
      <c r="K130" s="2" t="inlineStr">
        <is>
          <t>Grape Pie</t>
        </is>
      </c>
      <c r="L130" s="2" t="inlineStr">
        <is>
          <t>Ident A + Ident B + Foreign matter</t>
        </is>
      </c>
      <c r="M130" s="6" t="inlineStr">
        <is>
          <t>—</t>
        </is>
      </c>
      <c r="N130" s="2">
        <f>IFERROR(INDEX('CoQ Register'!$B:$B,MATCH("P050292|R",'CoQ Register'!$S:$S,0)),"—")</f>
        <v/>
      </c>
      <c r="O130" s="6" t="inlineStr">
        <is>
          <t>—</t>
        </is>
      </c>
      <c r="P130" s="2" t="inlineStr">
        <is>
          <t>P050292|R</t>
        </is>
      </c>
      <c r="Q130" s="9" t="inlineStr">
        <is>
          <t>not yet issuable — retest assay not yet on file</t>
        </is>
      </c>
    </row>
    <row r="131">
      <c r="A131" s="2">
        <f>IF(C131="yes",COUNT(A$1:A130)+1,"")</f>
        <v/>
      </c>
      <c r="B131" s="3">
        <f>IF(A131&lt;&gt;"","iCoA-PP_26-"&amp;TEXT(A131,"000"),IF(C131="n/a","not needed","— at issue —"))</f>
        <v/>
      </c>
      <c r="C131" s="6" t="inlineStr">
        <is>
          <t>no</t>
        </is>
      </c>
      <c r="D131" s="5">
        <f>IF(A131="","",IF(G131="legacy",DATE(2026,5,15),IF(ISNUMBER(F131),(F131+5)+CHOOSE(WEEKDAY(F131+5,2),0,0,0,0,0,2,1),"")))</f>
        <v/>
      </c>
      <c r="E131" s="5" t="inlineStr">
        <is>
          <t>at retest sampling</t>
        </is>
      </c>
      <c r="F131" s="5">
        <f>IFERROR(INDEX('Batch Dates'!$G:$G,MATCH(J131,'Batch Dates'!$C:$C,0)),IFERROR(INDEX('Batch Dates'!$G:$G,MATCH(I131,'Batch Dates'!$B:$B,0)),""))</f>
        <v/>
      </c>
      <c r="G131" s="2" t="inlineStr">
        <is>
          <t>legacy</t>
        </is>
      </c>
      <c r="H131" s="2" t="inlineStr">
        <is>
          <t>retest — sampled — Tranche 2/3 (potency and mycotoxins pending)</t>
        </is>
      </c>
      <c r="I131" s="3" t="inlineStr">
        <is>
          <t>PM072501</t>
        </is>
      </c>
      <c r="J131" s="2" t="inlineStr">
        <is>
          <t>P050272</t>
        </is>
      </c>
      <c r="K131" s="2" t="inlineStr">
        <is>
          <t>Permanent Marker</t>
        </is>
      </c>
      <c r="L131" s="2" t="inlineStr">
        <is>
          <t>Ident A + Ident B + Foreign matter</t>
        </is>
      </c>
      <c r="M131" s="6" t="inlineStr">
        <is>
          <t>—</t>
        </is>
      </c>
      <c r="N131" s="2">
        <f>IFERROR(INDEX('CoQ Register'!$B:$B,MATCH("P050272|R",'CoQ Register'!$S:$S,0)),"—")</f>
        <v/>
      </c>
      <c r="O131" s="6" t="inlineStr">
        <is>
          <t>—</t>
        </is>
      </c>
      <c r="P131" s="2" t="inlineStr">
        <is>
          <t>P050272|R</t>
        </is>
      </c>
      <c r="Q131" s="9" t="inlineStr">
        <is>
          <t>not yet issuable — retest assay not yet on file</t>
        </is>
      </c>
    </row>
    <row r="132">
      <c r="A132" s="2">
        <f>IF(C132="yes",COUNT(A$1:A131)+1,"")</f>
        <v/>
      </c>
      <c r="B132" s="3">
        <f>IF(A132&lt;&gt;"","iCoA-PP_26-"&amp;TEXT(A132,"000"),IF(C132="n/a","not needed","— at issue —"))</f>
        <v/>
      </c>
      <c r="C132" s="6" t="inlineStr">
        <is>
          <t>no</t>
        </is>
      </c>
      <c r="D132" s="5">
        <f>IF(A132="","",IF(G132="legacy",DATE(2026,5,15),IF(ISNUMBER(F132),(F132+5)+CHOOSE(WEEKDAY(F132+5,2),0,0,0,0,0,2,1),"")))</f>
        <v/>
      </c>
      <c r="E132" s="5" t="inlineStr">
        <is>
          <t>at retest sampling</t>
        </is>
      </c>
      <c r="F132" s="5">
        <f>IFERROR(INDEX('Batch Dates'!$G:$G,MATCH(J132,'Batch Dates'!$C:$C,0)),IFERROR(INDEX('Batch Dates'!$G:$G,MATCH(I132,'Batch Dates'!$B:$B,0)),""))</f>
        <v/>
      </c>
      <c r="G132" s="2" t="inlineStr">
        <is>
          <t>legacy</t>
        </is>
      </c>
      <c r="H132" s="2" t="inlineStr">
        <is>
          <t>retest — not yet sampled</t>
        </is>
      </c>
      <c r="I132" s="3" t="inlineStr">
        <is>
          <t>OPM092501</t>
        </is>
      </c>
      <c r="J132" s="2" t="inlineStr">
        <is>
          <t>P060042</t>
        </is>
      </c>
      <c r="K132" s="2" t="inlineStr">
        <is>
          <t>Orange Punch Mimosa</t>
        </is>
      </c>
      <c r="L132" s="2" t="inlineStr">
        <is>
          <t>Ident A + Ident B + Foreign matter</t>
        </is>
      </c>
      <c r="M132" s="6" t="inlineStr">
        <is>
          <t>—</t>
        </is>
      </c>
      <c r="N132" s="2">
        <f>IFERROR(INDEX('CoQ Register'!$B:$B,MATCH("P060042|R",'CoQ Register'!$S:$S,0)),"—")</f>
        <v/>
      </c>
      <c r="O132" s="6" t="inlineStr">
        <is>
          <t>—</t>
        </is>
      </c>
      <c r="P132" s="2" t="inlineStr">
        <is>
          <t>P060042|R</t>
        </is>
      </c>
      <c r="Q132" s="9" t="inlineStr">
        <is>
          <t>not yet issuable — retest assay not yet on file</t>
        </is>
      </c>
    </row>
    <row r="133">
      <c r="A133" s="2">
        <f>IF(C133="yes",COUNT(A$1:A132)+1,"")</f>
        <v/>
      </c>
      <c r="B133" s="3">
        <f>IF(A133&lt;&gt;"","iCoA-PP_26-"&amp;TEXT(A133,"000"),IF(C133="n/a","not needed","— at issue —"))</f>
        <v/>
      </c>
      <c r="C133" s="6" t="inlineStr">
        <is>
          <t>no</t>
        </is>
      </c>
      <c r="D133" s="5">
        <f>IF(A133="","",IF(G133="legacy",DATE(2026,5,15),IF(ISNUMBER(F133),(F133+5)+CHOOSE(WEEKDAY(F133+5,2),0,0,0,0,0,2,1),"")))</f>
        <v/>
      </c>
      <c r="E133" s="5" t="inlineStr">
        <is>
          <t>at retest sampling</t>
        </is>
      </c>
      <c r="F133" s="5">
        <f>IFERROR(INDEX('Batch Dates'!$G:$G,MATCH(J133,'Batch Dates'!$C:$C,0)),IFERROR(INDEX('Batch Dates'!$G:$G,MATCH(I133,'Batch Dates'!$B:$B,0)),""))</f>
        <v/>
      </c>
      <c r="G133" s="2" t="inlineStr">
        <is>
          <t>legacy</t>
        </is>
      </c>
      <c r="H133" s="2" t="inlineStr">
        <is>
          <t>retest — not yet sampled</t>
        </is>
      </c>
      <c r="I133" s="3" t="inlineStr">
        <is>
          <t>CJ092501</t>
        </is>
      </c>
      <c r="J133" s="2" t="inlineStr">
        <is>
          <t>P060072</t>
        </is>
      </c>
      <c r="K133" s="2" t="inlineStr">
        <is>
          <t>Cap Junky</t>
        </is>
      </c>
      <c r="L133" s="2" t="inlineStr">
        <is>
          <t>Ident A + Ident B + Foreign matter</t>
        </is>
      </c>
      <c r="M133" s="6" t="inlineStr">
        <is>
          <t>—</t>
        </is>
      </c>
      <c r="N133" s="2">
        <f>IFERROR(INDEX('CoQ Register'!$B:$B,MATCH("P060072|R",'CoQ Register'!$S:$S,0)),"—")</f>
        <v/>
      </c>
      <c r="O133" s="6" t="inlineStr">
        <is>
          <t>—</t>
        </is>
      </c>
      <c r="P133" s="2" t="inlineStr">
        <is>
          <t>P060072|R</t>
        </is>
      </c>
      <c r="Q133" s="9" t="inlineStr">
        <is>
          <t>not yet issuable — retest assay not yet on file</t>
        </is>
      </c>
    </row>
    <row r="134">
      <c r="A134" s="2">
        <f>IF(C134="yes",COUNT(A$1:A133)+1,"")</f>
        <v/>
      </c>
      <c r="B134" s="3">
        <f>IF(A134&lt;&gt;"","iCoA-PP_26-"&amp;TEXT(A134,"000"),IF(C134="n/a","not needed","— at issue —"))</f>
        <v/>
      </c>
      <c r="C134" s="6" t="inlineStr">
        <is>
          <t>no</t>
        </is>
      </c>
      <c r="D134" s="5">
        <f>IF(A134="","",IF(G134="legacy",DATE(2026,5,15),IF(ISNUMBER(F134),(F134+5)+CHOOSE(WEEKDAY(F134+5,2),0,0,0,0,0,2,1),"")))</f>
        <v/>
      </c>
      <c r="E134" s="5" t="inlineStr">
        <is>
          <t>at retest sampling</t>
        </is>
      </c>
      <c r="F134" s="5">
        <f>IFERROR(INDEX('Batch Dates'!$G:$G,MATCH(J134,'Batch Dates'!$C:$C,0)),IFERROR(INDEX('Batch Dates'!$G:$G,MATCH(I134,'Batch Dates'!$B:$B,0)),""))</f>
        <v/>
      </c>
      <c r="G134" s="2" t="inlineStr">
        <is>
          <t>legacy</t>
        </is>
      </c>
      <c r="H134" s="2" t="inlineStr">
        <is>
          <t>retest — not yet sampled</t>
        </is>
      </c>
      <c r="I134" s="3" t="inlineStr">
        <is>
          <t>SJ0925021</t>
        </is>
      </c>
      <c r="J134" s="2" t="inlineStr">
        <is>
          <t>P060082</t>
        </is>
      </c>
      <c r="K134" s="2" t="inlineStr"/>
      <c r="L134" s="2" t="inlineStr">
        <is>
          <t>Ident A + Ident B + Foreign matter</t>
        </is>
      </c>
      <c r="M134" s="6" t="inlineStr">
        <is>
          <t>—</t>
        </is>
      </c>
      <c r="N134" s="2">
        <f>IFERROR(INDEX('CoQ Register'!$B:$B,MATCH("P060082|R",'CoQ Register'!$S:$S,0)),"—")</f>
        <v/>
      </c>
      <c r="O134" s="6" t="inlineStr">
        <is>
          <t>—</t>
        </is>
      </c>
      <c r="P134" s="2" t="inlineStr">
        <is>
          <t>P060082|R</t>
        </is>
      </c>
      <c r="Q134" s="9" t="inlineStr">
        <is>
          <t>not yet issuable — retest assay not yet on file</t>
        </is>
      </c>
    </row>
    <row r="135">
      <c r="A135" s="2">
        <f>IF(C135="yes",COUNT(A$1:A134)+1,"")</f>
        <v/>
      </c>
      <c r="B135" s="3">
        <f>IF(A135&lt;&gt;"","iCoA-PP_26-"&amp;TEXT(A135,"000"),IF(C135="n/a","not needed","— at issue —"))</f>
        <v/>
      </c>
      <c r="C135" s="6" t="inlineStr">
        <is>
          <t>no</t>
        </is>
      </c>
      <c r="D135" s="5">
        <f>IF(A135="","",IF(G135="legacy",DATE(2026,5,15),IF(ISNUMBER(F135),(F135+5)+CHOOSE(WEEKDAY(F135+5,2),0,0,0,0,0,2,1),"")))</f>
        <v/>
      </c>
      <c r="E135" s="5" t="inlineStr">
        <is>
          <t>at retest sampling</t>
        </is>
      </c>
      <c r="F135" s="5">
        <f>IFERROR(INDEX('Batch Dates'!$G:$G,MATCH(J135,'Batch Dates'!$C:$C,0)),IFERROR(INDEX('Batch Dates'!$G:$G,MATCH(I135,'Batch Dates'!$B:$B,0)),""))</f>
        <v/>
      </c>
      <c r="G135" s="2" t="inlineStr">
        <is>
          <t>legacy</t>
        </is>
      </c>
      <c r="H135" s="2" t="inlineStr">
        <is>
          <t>retest — not yet sampled</t>
        </is>
      </c>
      <c r="I135" s="3" t="inlineStr">
        <is>
          <t>GP092501</t>
        </is>
      </c>
      <c r="J135" s="2" t="inlineStr">
        <is>
          <t>P060092</t>
        </is>
      </c>
      <c r="K135" s="2" t="inlineStr">
        <is>
          <t>Grape Pie</t>
        </is>
      </c>
      <c r="L135" s="2" t="inlineStr">
        <is>
          <t>Ident A + Ident B + Foreign matter</t>
        </is>
      </c>
      <c r="M135" s="6" t="inlineStr">
        <is>
          <t>—</t>
        </is>
      </c>
      <c r="N135" s="2">
        <f>IFERROR(INDEX('CoQ Register'!$B:$B,MATCH("P060092|R",'CoQ Register'!$S:$S,0)),"—")</f>
        <v/>
      </c>
      <c r="O135" s="6" t="inlineStr">
        <is>
          <t>—</t>
        </is>
      </c>
      <c r="P135" s="2" t="inlineStr">
        <is>
          <t>P060092|R</t>
        </is>
      </c>
      <c r="Q135" s="9" t="inlineStr">
        <is>
          <t>not yet issuable — retest assay not yet on file</t>
        </is>
      </c>
    </row>
    <row r="136">
      <c r="A136" s="2">
        <f>IF(C136="yes",COUNT(A$1:A135)+1,"")</f>
        <v/>
      </c>
      <c r="B136" s="3">
        <f>IF(A136&lt;&gt;"","iCoA-PP_26-"&amp;TEXT(A136,"000"),IF(C136="n/a","not needed","— at issue —"))</f>
        <v/>
      </c>
      <c r="C136" s="6" t="inlineStr">
        <is>
          <t>no</t>
        </is>
      </c>
      <c r="D136" s="5">
        <f>IF(A136="","",IF(G136="legacy",DATE(2026,5,15),IF(ISNUMBER(F136),(F136+5)+CHOOSE(WEEKDAY(F136+5,2),0,0,0,0,0,2,1),"")))</f>
        <v/>
      </c>
      <c r="E136" s="5" t="inlineStr">
        <is>
          <t>at retest sampling</t>
        </is>
      </c>
      <c r="F136" s="5">
        <f>IFERROR(INDEX('Batch Dates'!$G:$G,MATCH(J136,'Batch Dates'!$C:$C,0)),IFERROR(INDEX('Batch Dates'!$G:$G,MATCH(I136,'Batch Dates'!$B:$B,0)),""))</f>
        <v/>
      </c>
      <c r="G136" s="2" t="inlineStr">
        <is>
          <t>legacy</t>
        </is>
      </c>
      <c r="H136" s="2" t="inlineStr">
        <is>
          <t>retest — sampled — Tranche 2/3 (potency and mycotoxins pending)</t>
        </is>
      </c>
      <c r="I136" s="3" t="inlineStr">
        <is>
          <t>AB092501</t>
        </is>
      </c>
      <c r="J136" s="2" t="inlineStr">
        <is>
          <t>P060052</t>
        </is>
      </c>
      <c r="K136" s="2" t="inlineStr">
        <is>
          <t>Apple and Banana</t>
        </is>
      </c>
      <c r="L136" s="2" t="inlineStr">
        <is>
          <t>Ident A + Ident B + Foreign matter</t>
        </is>
      </c>
      <c r="M136" s="6" t="inlineStr">
        <is>
          <t>—</t>
        </is>
      </c>
      <c r="N136" s="2">
        <f>IFERROR(INDEX('CoQ Register'!$B:$B,MATCH("P060052|R",'CoQ Register'!$S:$S,0)),"—")</f>
        <v/>
      </c>
      <c r="O136" s="6" t="inlineStr">
        <is>
          <t>—</t>
        </is>
      </c>
      <c r="P136" s="2" t="inlineStr">
        <is>
          <t>P060052|R</t>
        </is>
      </c>
      <c r="Q136" s="9" t="inlineStr">
        <is>
          <t>not yet issuable — retest assay not yet on file</t>
        </is>
      </c>
    </row>
    <row r="137">
      <c r="A137" s="2">
        <f>IF(C137="yes",COUNT(A$1:A136)+1,"")</f>
        <v/>
      </c>
      <c r="B137" s="3">
        <f>IF(A137&lt;&gt;"","iCoA-PP_26-"&amp;TEXT(A137,"000"),IF(C137="n/a","not needed","— at issue —"))</f>
        <v/>
      </c>
      <c r="C137" s="6" t="inlineStr">
        <is>
          <t>no</t>
        </is>
      </c>
      <c r="D137" s="5">
        <f>IF(A137="","",IF(G137="legacy",DATE(2026,5,15),IF(ISNUMBER(F137),(F137+5)+CHOOSE(WEEKDAY(F137+5,2),0,0,0,0,0,2,1),"")))</f>
        <v/>
      </c>
      <c r="E137" s="5" t="inlineStr">
        <is>
          <t>at retest sampling</t>
        </is>
      </c>
      <c r="F137" s="5">
        <f>IFERROR(INDEX('Batch Dates'!$G:$G,MATCH(J137,'Batch Dates'!$C:$C,0)),IFERROR(INDEX('Batch Dates'!$G:$G,MATCH(I137,'Batch Dates'!$B:$B,0)),""))</f>
        <v/>
      </c>
      <c r="G137" s="2" t="inlineStr">
        <is>
          <t>legacy</t>
        </is>
      </c>
      <c r="H137" s="2" t="inlineStr">
        <is>
          <t>retest — sampled — Tranche 2/3 (potency and mycotoxins pending)</t>
        </is>
      </c>
      <c r="I137" s="3" t="inlineStr">
        <is>
          <t>SJ102501</t>
        </is>
      </c>
      <c r="J137" s="2" t="inlineStr">
        <is>
          <t>P060162</t>
        </is>
      </c>
      <c r="K137" s="2" t="inlineStr">
        <is>
          <t>Sleepy Joe</t>
        </is>
      </c>
      <c r="L137" s="2" t="inlineStr">
        <is>
          <t>Ident A + Ident B + Foreign matter</t>
        </is>
      </c>
      <c r="M137" s="6" t="inlineStr">
        <is>
          <t>—</t>
        </is>
      </c>
      <c r="N137" s="2">
        <f>IFERROR(INDEX('CoQ Register'!$B:$B,MATCH("P060162|R",'CoQ Register'!$S:$S,0)),"—")</f>
        <v/>
      </c>
      <c r="O137" s="6" t="inlineStr">
        <is>
          <t>—</t>
        </is>
      </c>
      <c r="P137" s="2" t="inlineStr">
        <is>
          <t>P060162|R</t>
        </is>
      </c>
      <c r="Q137" s="9" t="inlineStr">
        <is>
          <t>not yet issuable — retest assay not yet on file</t>
        </is>
      </c>
    </row>
    <row r="138">
      <c r="A138" s="2">
        <f>IF(C138="yes",COUNT(A$1:A137)+1,"")</f>
        <v/>
      </c>
      <c r="B138" s="3">
        <f>IF(A138&lt;&gt;"","iCoA-PP_26-"&amp;TEXT(A138,"000"),IF(C138="n/a","not needed","— at issue —"))</f>
        <v/>
      </c>
      <c r="C138" s="6" t="inlineStr">
        <is>
          <t>no</t>
        </is>
      </c>
      <c r="D138" s="5">
        <f>IF(A138="","",IF(G138="legacy",DATE(2026,5,15),IF(ISNUMBER(F138),(F138+5)+CHOOSE(WEEKDAY(F138+5,2),0,0,0,0,0,2,1),"")))</f>
        <v/>
      </c>
      <c r="E138" s="5" t="inlineStr">
        <is>
          <t>at retest sampling</t>
        </is>
      </c>
      <c r="F138" s="5">
        <f>IFERROR(INDEX('Batch Dates'!$G:$G,MATCH(J138,'Batch Dates'!$C:$C,0)),IFERROR(INDEX('Batch Dates'!$G:$G,MATCH(I138,'Batch Dates'!$B:$B,0)),""))</f>
        <v/>
      </c>
      <c r="G138" s="2" t="inlineStr">
        <is>
          <t>legacy</t>
        </is>
      </c>
      <c r="H138" s="2" t="inlineStr">
        <is>
          <t>retest — not yet sampled</t>
        </is>
      </c>
      <c r="I138" s="3" t="inlineStr">
        <is>
          <t>SJ112501</t>
        </is>
      </c>
      <c r="J138" s="2" t="inlineStr">
        <is>
          <t>P060192</t>
        </is>
      </c>
      <c r="K138" s="2" t="inlineStr">
        <is>
          <t>Sleepy Joy</t>
        </is>
      </c>
      <c r="L138" s="2" t="inlineStr">
        <is>
          <t>Ident A + Ident B + Foreign matter</t>
        </is>
      </c>
      <c r="M138" s="6" t="inlineStr">
        <is>
          <t>—</t>
        </is>
      </c>
      <c r="N138" s="2">
        <f>IFERROR(INDEX('CoQ Register'!$B:$B,MATCH("P060192|R",'CoQ Register'!$S:$S,0)),"—")</f>
        <v/>
      </c>
      <c r="O138" s="6" t="inlineStr">
        <is>
          <t>—</t>
        </is>
      </c>
      <c r="P138" s="2" t="inlineStr">
        <is>
          <t>P060192|R</t>
        </is>
      </c>
      <c r="Q138" s="9" t="inlineStr">
        <is>
          <t>not yet issuable — retest assay not yet on file</t>
        </is>
      </c>
    </row>
    <row r="139">
      <c r="A139" s="2">
        <f>IF(C139="yes",COUNT(A$1:A138)+1,"")</f>
        <v/>
      </c>
      <c r="B139" s="3">
        <f>IF(A139&lt;&gt;"","iCoA-PP_26-"&amp;TEXT(A139,"000"),IF(C139="n/a","not needed","— at issue —"))</f>
        <v/>
      </c>
      <c r="C139" s="6" t="inlineStr">
        <is>
          <t>no</t>
        </is>
      </c>
      <c r="D139" s="5">
        <f>IF(A139="","",IF(G139="legacy",DATE(2026,5,15),IF(ISNUMBER(F139),(F139+5)+CHOOSE(WEEKDAY(F139+5,2),0,0,0,0,0,2,1),"")))</f>
        <v/>
      </c>
      <c r="E139" s="5" t="inlineStr">
        <is>
          <t>at retest sampling</t>
        </is>
      </c>
      <c r="F139" s="5">
        <f>IFERROR(INDEX('Batch Dates'!$G:$G,MATCH(J139,'Batch Dates'!$C:$C,0)),IFERROR(INDEX('Batch Dates'!$G:$G,MATCH(I139,'Batch Dates'!$B:$B,0)),""))</f>
        <v/>
      </c>
      <c r="G139" s="2" t="inlineStr">
        <is>
          <t>legacy</t>
        </is>
      </c>
      <c r="H139" s="2" t="inlineStr">
        <is>
          <t>retest — sampled — Tranche 2/3 (potency and mycotoxins pending)</t>
        </is>
      </c>
      <c r="I139" s="3" t="inlineStr">
        <is>
          <t>OPM112501</t>
        </is>
      </c>
      <c r="J139" s="2" t="inlineStr">
        <is>
          <t>P060222</t>
        </is>
      </c>
      <c r="K139" s="2" t="inlineStr">
        <is>
          <t>Orange Punch Mimosa</t>
        </is>
      </c>
      <c r="L139" s="2" t="inlineStr">
        <is>
          <t>Ident A + Ident B + Foreign matter</t>
        </is>
      </c>
      <c r="M139" s="6" t="inlineStr">
        <is>
          <t>—</t>
        </is>
      </c>
      <c r="N139" s="2">
        <f>IFERROR(INDEX('CoQ Register'!$B:$B,MATCH("P060222|R",'CoQ Register'!$S:$S,0)),"—")</f>
        <v/>
      </c>
      <c r="O139" s="6" t="inlineStr">
        <is>
          <t>—</t>
        </is>
      </c>
      <c r="P139" s="2" t="inlineStr">
        <is>
          <t>P060222|R</t>
        </is>
      </c>
      <c r="Q139" s="9" t="inlineStr">
        <is>
          <t>not yet issuable — retest assay not yet on file</t>
        </is>
      </c>
    </row>
    <row r="140">
      <c r="A140" s="2">
        <f>IF(C140="yes",COUNT(A$1:A139)+1,"")</f>
        <v/>
      </c>
      <c r="B140" s="3">
        <f>IF(A140&lt;&gt;"","iCoA-PP_26-"&amp;TEXT(A140,"000"),IF(C140="n/a","not needed","— at issue —"))</f>
        <v/>
      </c>
      <c r="C140" s="6" t="inlineStr">
        <is>
          <t>no</t>
        </is>
      </c>
      <c r="D140" s="5">
        <f>IF(A140="","",IF(G140="legacy",DATE(2026,5,15),IF(ISNUMBER(F140),(F140+5)+CHOOSE(WEEKDAY(F140+5,2),0,0,0,0,0,2,1),"")))</f>
        <v/>
      </c>
      <c r="E140" s="5" t="inlineStr">
        <is>
          <t>at retest sampling</t>
        </is>
      </c>
      <c r="F140" s="5">
        <f>IFERROR(INDEX('Batch Dates'!$G:$G,MATCH(J140,'Batch Dates'!$C:$C,0)),IFERROR(INDEX('Batch Dates'!$G:$G,MATCH(I140,'Batch Dates'!$B:$B,0)),""))</f>
        <v/>
      </c>
      <c r="G140" s="2" t="inlineStr">
        <is>
          <t>legacy</t>
        </is>
      </c>
      <c r="H140" s="2" t="inlineStr">
        <is>
          <t>retest — not yet sampled</t>
        </is>
      </c>
      <c r="I140" s="3" t="inlineStr">
        <is>
          <t>KC102501</t>
        </is>
      </c>
      <c r="J140" s="2" t="inlineStr">
        <is>
          <t>P060172</t>
        </is>
      </c>
      <c r="K140" s="2" t="inlineStr">
        <is>
          <t>Kush Crasher</t>
        </is>
      </c>
      <c r="L140" s="2" t="inlineStr">
        <is>
          <t>Ident A + Ident B + Foreign matter</t>
        </is>
      </c>
      <c r="M140" s="6" t="inlineStr">
        <is>
          <t>—</t>
        </is>
      </c>
      <c r="N140" s="2">
        <f>IFERROR(INDEX('CoQ Register'!$B:$B,MATCH("P060172|R",'CoQ Register'!$S:$S,0)),"—")</f>
        <v/>
      </c>
      <c r="O140" s="6" t="inlineStr">
        <is>
          <t>—</t>
        </is>
      </c>
      <c r="P140" s="2" t="inlineStr">
        <is>
          <t>P060172|R</t>
        </is>
      </c>
      <c r="Q140" s="9" t="inlineStr">
        <is>
          <t>not yet issuable — retest assay not yet on file</t>
        </is>
      </c>
    </row>
    <row r="141">
      <c r="A141" s="2">
        <f>IF(C141="yes",COUNT(A$1:A140)+1,"")</f>
        <v/>
      </c>
      <c r="B141" s="3">
        <f>IF(A141&lt;&gt;"","iCoA-PP_26-"&amp;TEXT(A141,"000"),IF(C141="n/a","not needed","— at issue —"))</f>
        <v/>
      </c>
      <c r="C141" s="6" t="inlineStr">
        <is>
          <t>no</t>
        </is>
      </c>
      <c r="D141" s="5">
        <f>IF(A141="","",IF(G141="legacy",DATE(2026,5,15),IF(ISNUMBER(F141),(F141+5)+CHOOSE(WEEKDAY(F141+5,2),0,0,0,0,0,2,1),"")))</f>
        <v/>
      </c>
      <c r="E141" s="5" t="inlineStr">
        <is>
          <t>at retest sampling</t>
        </is>
      </c>
      <c r="F141" s="5">
        <f>IFERROR(INDEX('Batch Dates'!$G:$G,MATCH(J141,'Batch Dates'!$C:$C,0)),IFERROR(INDEX('Batch Dates'!$G:$G,MATCH(I141,'Batch Dates'!$B:$B,0)),""))</f>
        <v/>
      </c>
      <c r="G141" s="2" t="inlineStr">
        <is>
          <t>legacy</t>
        </is>
      </c>
      <c r="H141" s="2" t="inlineStr">
        <is>
          <t>retest — sampled — Tranche 2/3 (potency and mycotoxins pending)</t>
        </is>
      </c>
      <c r="I141" s="3" t="inlineStr">
        <is>
          <t>GRC102501</t>
        </is>
      </c>
      <c r="J141" s="2" t="inlineStr">
        <is>
          <t>P060182</t>
        </is>
      </c>
      <c r="K141" s="2" t="inlineStr">
        <is>
          <t>Graps &amp; Creme</t>
        </is>
      </c>
      <c r="L141" s="2" t="inlineStr">
        <is>
          <t>Ident A + Ident B + Foreign matter</t>
        </is>
      </c>
      <c r="M141" s="6" t="inlineStr">
        <is>
          <t>—</t>
        </is>
      </c>
      <c r="N141" s="2">
        <f>IFERROR(INDEX('CoQ Register'!$B:$B,MATCH("P060182|R",'CoQ Register'!$S:$S,0)),"—")</f>
        <v/>
      </c>
      <c r="O141" s="6" t="inlineStr">
        <is>
          <t>—</t>
        </is>
      </c>
      <c r="P141" s="2" t="inlineStr">
        <is>
          <t>P060182|R</t>
        </is>
      </c>
      <c r="Q141" s="9" t="inlineStr">
        <is>
          <t>not yet issuable — retest assay not yet on file</t>
        </is>
      </c>
    </row>
    <row r="142">
      <c r="A142" s="2">
        <f>IF(C142="yes",COUNT(A$1:A141)+1,"")</f>
        <v/>
      </c>
      <c r="B142" s="3">
        <f>IF(A142&lt;&gt;"","iCoA-PP_26-"&amp;TEXT(A142,"000"),IF(C142="n/a","not needed","— at issue —"))</f>
        <v/>
      </c>
      <c r="C142" s="6" t="inlineStr">
        <is>
          <t>no</t>
        </is>
      </c>
      <c r="D142" s="5">
        <f>IF(A142="","",IF(G142="legacy",DATE(2026,5,15),IF(ISNUMBER(F142),(F142+5)+CHOOSE(WEEKDAY(F142+5,2),0,0,0,0,0,2,1),"")))</f>
        <v/>
      </c>
      <c r="E142" s="5" t="inlineStr">
        <is>
          <t>at retest sampling</t>
        </is>
      </c>
      <c r="F142" s="5">
        <f>IFERROR(INDEX('Batch Dates'!$G:$G,MATCH(J142,'Batch Dates'!$C:$C,0)),IFERROR(INDEX('Batch Dates'!$G:$G,MATCH(I142,'Batch Dates'!$B:$B,0)),""))</f>
        <v/>
      </c>
      <c r="G142" s="2" t="inlineStr">
        <is>
          <t>legacy</t>
        </is>
      </c>
      <c r="H142" s="2" t="inlineStr">
        <is>
          <t>retest — sampled — Tranche 2/3 (potency and mycotoxins pending)</t>
        </is>
      </c>
      <c r="I142" s="3" t="inlineStr">
        <is>
          <t>J31112501</t>
        </is>
      </c>
      <c r="J142" s="2" t="inlineStr">
        <is>
          <t>P060202</t>
        </is>
      </c>
      <c r="K142" s="2" t="inlineStr">
        <is>
          <t>Jokerz 31</t>
        </is>
      </c>
      <c r="L142" s="2" t="inlineStr">
        <is>
          <t>Ident A + Ident B + Foreign matter</t>
        </is>
      </c>
      <c r="M142" s="6" t="inlineStr">
        <is>
          <t>—</t>
        </is>
      </c>
      <c r="N142" s="2">
        <f>IFERROR(INDEX('CoQ Register'!$B:$B,MATCH("P060202|R",'CoQ Register'!$S:$S,0)),"—")</f>
        <v/>
      </c>
      <c r="O142" s="6" t="inlineStr">
        <is>
          <t>—</t>
        </is>
      </c>
      <c r="P142" s="2" t="inlineStr">
        <is>
          <t>P060202|R</t>
        </is>
      </c>
      <c r="Q142" s="9" t="inlineStr">
        <is>
          <t>not yet issuable — retest assay not yet on file</t>
        </is>
      </c>
    </row>
    <row r="143">
      <c r="A143" s="2">
        <f>IF(C143="yes",COUNT(A$1:A142)+1,"")</f>
        <v/>
      </c>
      <c r="B143" s="3">
        <f>IF(A143&lt;&gt;"","iCoA-PP_26-"&amp;TEXT(A143,"000"),IF(C143="n/a","not needed","— at issue —"))</f>
        <v/>
      </c>
      <c r="C143" s="6" t="inlineStr">
        <is>
          <t>no</t>
        </is>
      </c>
      <c r="D143" s="5">
        <f>IF(A143="","",IF(G143="legacy",DATE(2026,5,15),IF(ISNUMBER(F143),(F143+5)+CHOOSE(WEEKDAY(F143+5,2),0,0,0,0,0,2,1),"")))</f>
        <v/>
      </c>
      <c r="E143" s="5" t="inlineStr">
        <is>
          <t>at retest sampling</t>
        </is>
      </c>
      <c r="F143" s="5">
        <f>IFERROR(INDEX('Batch Dates'!$G:$G,MATCH(J143,'Batch Dates'!$C:$C,0)),IFERROR(INDEX('Batch Dates'!$G:$G,MATCH(I143,'Batch Dates'!$B:$B,0)),""))</f>
        <v/>
      </c>
      <c r="G143" s="2" t="inlineStr">
        <is>
          <t>legacy</t>
        </is>
      </c>
      <c r="H143" s="2" t="inlineStr">
        <is>
          <t>retest — not yet sampled</t>
        </is>
      </c>
      <c r="I143" s="3" t="inlineStr">
        <is>
          <t>JD112501＊</t>
        </is>
      </c>
      <c r="J143" s="2" t="inlineStr">
        <is>
          <t>P060212</t>
        </is>
      </c>
      <c r="K143" s="2" t="inlineStr">
        <is>
          <t>Jelly Donutz</t>
        </is>
      </c>
      <c r="L143" s="2" t="inlineStr">
        <is>
          <t>Ident A + Ident B + Foreign matter</t>
        </is>
      </c>
      <c r="M143" s="6" t="inlineStr">
        <is>
          <t>—</t>
        </is>
      </c>
      <c r="N143" s="2">
        <f>IFERROR(INDEX('CoQ Register'!$B:$B,MATCH("JD112501|R",'CoQ Register'!$S:$S,0)),"—")</f>
        <v/>
      </c>
      <c r="O143" s="6" t="inlineStr">
        <is>
          <t>—</t>
        </is>
      </c>
      <c r="P143" s="2" t="inlineStr">
        <is>
          <t>JD112501|R</t>
        </is>
      </c>
      <c r="Q143" s="9" t="inlineStr">
        <is>
          <t>not yet issuable — retest assay not yet on file</t>
        </is>
      </c>
    </row>
    <row r="144">
      <c r="A144" s="2">
        <f>IF(C144="yes",COUNT(A$1:A143)+1,"")</f>
        <v/>
      </c>
      <c r="B144" s="3">
        <f>IF(A144&lt;&gt;"","iCoA-PP_26-"&amp;TEXT(A144,"000"),IF(C144="n/a","not needed","— at issue —"))</f>
        <v/>
      </c>
      <c r="C144" s="6" t="inlineStr">
        <is>
          <t>no</t>
        </is>
      </c>
      <c r="D144" s="5">
        <f>IF(A144="","",IF(G144="legacy",DATE(2026,5,15),IF(ISNUMBER(F144),(F144+5)+CHOOSE(WEEKDAY(F144+5,2),0,0,0,0,0,2,1),"")))</f>
        <v/>
      </c>
      <c r="E144" s="5" t="inlineStr">
        <is>
          <t>at retest sampling</t>
        </is>
      </c>
      <c r="F144" s="5">
        <f>IFERROR(INDEX('Batch Dates'!$G:$G,MATCH(J144,'Batch Dates'!$C:$C,0)),IFERROR(INDEX('Batch Dates'!$G:$G,MATCH(I144,'Batch Dates'!$B:$B,0)),""))</f>
        <v/>
      </c>
      <c r="G144" s="2" t="inlineStr">
        <is>
          <t>legacy</t>
        </is>
      </c>
      <c r="H144" s="2" t="inlineStr">
        <is>
          <t>retest — not yet sampled</t>
        </is>
      </c>
      <c r="I144" s="3" t="inlineStr">
        <is>
          <t>PM112501</t>
        </is>
      </c>
      <c r="J144" s="2" t="inlineStr">
        <is>
          <t>P060232</t>
        </is>
      </c>
      <c r="K144" s="2" t="inlineStr">
        <is>
          <t>Permanent Market</t>
        </is>
      </c>
      <c r="L144" s="2" t="inlineStr">
        <is>
          <t>Ident A + Ident B + Foreign matter</t>
        </is>
      </c>
      <c r="M144" s="6" t="inlineStr">
        <is>
          <t>—</t>
        </is>
      </c>
      <c r="N144" s="2">
        <f>IFERROR(INDEX('CoQ Register'!$B:$B,MATCH("P060232|R",'CoQ Register'!$S:$S,0)),"—")</f>
        <v/>
      </c>
      <c r="O144" s="6" t="inlineStr">
        <is>
          <t>—</t>
        </is>
      </c>
      <c r="P144" s="2" t="inlineStr">
        <is>
          <t>P060232|R</t>
        </is>
      </c>
      <c r="Q144" s="9" t="inlineStr">
        <is>
          <t>not yet issuable — retest assay not yet on file</t>
        </is>
      </c>
    </row>
    <row r="145">
      <c r="A145" s="2">
        <f>IF(C145="yes",COUNT(A$1:A144)+1,"")</f>
        <v/>
      </c>
      <c r="B145" s="3">
        <f>IF(A145&lt;&gt;"","iCoA-PP_26-"&amp;TEXT(A145,"000"),IF(C145="n/a","not needed","— at issue —"))</f>
        <v/>
      </c>
      <c r="C145" s="6" t="inlineStr">
        <is>
          <t>no</t>
        </is>
      </c>
      <c r="D145" s="5">
        <f>IF(A145="","",IF(G145="legacy",DATE(2026,5,15),IF(ISNUMBER(F145),(F145+5)+CHOOSE(WEEKDAY(F145+5,2),0,0,0,0,0,2,1),"")))</f>
        <v/>
      </c>
      <c r="E145" s="5" t="inlineStr">
        <is>
          <t>at retest sampling</t>
        </is>
      </c>
      <c r="F145" s="5">
        <f>IFERROR(INDEX('Batch Dates'!$G:$G,MATCH(J145,'Batch Dates'!$C:$C,0)),IFERROR(INDEX('Batch Dates'!$G:$G,MATCH(I145,'Batch Dates'!$B:$B,0)),""))</f>
        <v/>
      </c>
      <c r="G145" s="2" t="inlineStr">
        <is>
          <t>post-SOP</t>
        </is>
      </c>
      <c r="H145" s="2" t="inlineStr">
        <is>
          <t>retest — sampled — Tranche 2/3 (potency and mycotoxins pending)</t>
        </is>
      </c>
      <c r="I145" s="3" t="inlineStr">
        <is>
          <t>CC112501</t>
        </is>
      </c>
      <c r="J145" s="2" t="inlineStr">
        <is>
          <t>P060272</t>
        </is>
      </c>
      <c r="K145" s="2" t="inlineStr">
        <is>
          <t>Cash Cow</t>
        </is>
      </c>
      <c r="L145" s="2" t="inlineStr">
        <is>
          <t>Ident A + Ident B + Foreign matter</t>
        </is>
      </c>
      <c r="M145" s="6" t="inlineStr">
        <is>
          <t>—</t>
        </is>
      </c>
      <c r="N145" s="2">
        <f>IFERROR(INDEX('CoQ Register'!$B:$B,MATCH("P060272|R",'CoQ Register'!$S:$S,0)),"—")</f>
        <v/>
      </c>
      <c r="O145" s="6" t="inlineStr">
        <is>
          <t>—</t>
        </is>
      </c>
      <c r="P145" s="2" t="inlineStr">
        <is>
          <t>P060272|R</t>
        </is>
      </c>
      <c r="Q145" s="9" t="inlineStr">
        <is>
          <t>not yet issuable — retest assay not yet on file</t>
        </is>
      </c>
    </row>
    <row r="146">
      <c r="A146" s="2">
        <f>IF(C146="yes",COUNT(A$1:A145)+1,"")</f>
        <v/>
      </c>
      <c r="B146" s="3">
        <f>IF(A146&lt;&gt;"","iCoA-PP_26-"&amp;TEXT(A146,"000"),IF(C146="n/a","not needed","— at issue —"))</f>
        <v/>
      </c>
      <c r="C146" s="6" t="inlineStr">
        <is>
          <t>no</t>
        </is>
      </c>
      <c r="D146" s="5">
        <f>IF(A146="","",IF(G146="legacy",DATE(2026,5,15),IF(ISNUMBER(F146),(F146+5)+CHOOSE(WEEKDAY(F146+5,2),0,0,0,0,0,2,1),"")))</f>
        <v/>
      </c>
      <c r="E146" s="5" t="inlineStr">
        <is>
          <t>at retest sampling</t>
        </is>
      </c>
      <c r="F146" s="5">
        <f>IFERROR(INDEX('Batch Dates'!$G:$G,MATCH(J146,'Batch Dates'!$C:$C,0)),IFERROR(INDEX('Batch Dates'!$G:$G,MATCH(I146,'Batch Dates'!$B:$B,0)),""))</f>
        <v/>
      </c>
      <c r="G146" s="2" t="inlineStr">
        <is>
          <t>post-SOP</t>
        </is>
      </c>
      <c r="H146" s="2" t="inlineStr">
        <is>
          <t>retest — sampled — Tranche 2/3 (potency and mycotoxins pending)</t>
        </is>
      </c>
      <c r="I146" s="3" t="inlineStr">
        <is>
          <t>FB112501</t>
        </is>
      </c>
      <c r="J146" s="2" t="inlineStr">
        <is>
          <t>P060292</t>
        </is>
      </c>
      <c r="K146" s="2" t="inlineStr">
        <is>
          <t>Fat Bastard</t>
        </is>
      </c>
      <c r="L146" s="2" t="inlineStr">
        <is>
          <t>Ident A + Ident B + Foreign matter</t>
        </is>
      </c>
      <c r="M146" s="6" t="inlineStr">
        <is>
          <t>—</t>
        </is>
      </c>
      <c r="N146" s="2">
        <f>IFERROR(INDEX('CoQ Register'!$B:$B,MATCH("P060292|R",'CoQ Register'!$S:$S,0)),"—")</f>
        <v/>
      </c>
      <c r="O146" s="6" t="inlineStr">
        <is>
          <t>—</t>
        </is>
      </c>
      <c r="P146" s="2" t="inlineStr">
        <is>
          <t>P060292|R</t>
        </is>
      </c>
      <c r="Q146" s="9" t="inlineStr">
        <is>
          <t>not yet issuable — retest assay not yet on file</t>
        </is>
      </c>
    </row>
    <row r="147">
      <c r="A147" s="2">
        <f>IF(C147="yes",COUNT(A$1:A146)+1,"")</f>
        <v/>
      </c>
      <c r="B147" s="3">
        <f>IF(A147&lt;&gt;"","iCoA-PP_26-"&amp;TEXT(A147,"000"),IF(C147="n/a","not needed","— at issue —"))</f>
        <v/>
      </c>
      <c r="C147" s="6" t="inlineStr">
        <is>
          <t>no</t>
        </is>
      </c>
      <c r="D147" s="5">
        <f>IF(A147="","",IF(G147="legacy",DATE(2026,5,15),IF(ISNUMBER(F147),(F147+5)+CHOOSE(WEEKDAY(F147+5,2),0,0,0,0,0,2,1),"")))</f>
        <v/>
      </c>
      <c r="E147" s="5" t="inlineStr">
        <is>
          <t>at retest sampling</t>
        </is>
      </c>
      <c r="F147" s="5">
        <f>IFERROR(INDEX('Batch Dates'!$G:$G,MATCH(J147,'Batch Dates'!$C:$C,0)),IFERROR(INDEX('Batch Dates'!$G:$G,MATCH(I147,'Batch Dates'!$B:$B,0)),""))</f>
        <v/>
      </c>
      <c r="G147" s="2" t="inlineStr">
        <is>
          <t>post-SOP</t>
        </is>
      </c>
      <c r="H147" s="2" t="inlineStr">
        <is>
          <t>retest — sampled — Tranche 2/3 (potency and mycotoxins pending)</t>
        </is>
      </c>
      <c r="I147" s="3" t="inlineStr">
        <is>
          <t>GG012601＊</t>
        </is>
      </c>
      <c r="J147" s="2" t="inlineStr">
        <is>
          <t>P060302</t>
        </is>
      </c>
      <c r="K147" s="2" t="inlineStr">
        <is>
          <t>Gorilla Glue</t>
        </is>
      </c>
      <c r="L147" s="2" t="inlineStr">
        <is>
          <t>Ident A + Ident B + Foreign matter</t>
        </is>
      </c>
      <c r="M147" s="6" t="inlineStr">
        <is>
          <t>—</t>
        </is>
      </c>
      <c r="N147" s="2">
        <f>IFERROR(INDEX('CoQ Register'!$B:$B,MATCH("P060302|R",'CoQ Register'!$S:$S,0)),"—")</f>
        <v/>
      </c>
      <c r="O147" s="6" t="inlineStr">
        <is>
          <t>—</t>
        </is>
      </c>
      <c r="P147" s="2" t="inlineStr">
        <is>
          <t>P060302|R</t>
        </is>
      </c>
      <c r="Q147" s="9" t="inlineStr">
        <is>
          <t>not yet issuable — retest assay not yet on file</t>
        </is>
      </c>
    </row>
    <row r="148">
      <c r="A148" s="2">
        <f>IF(C148="yes",COUNT(A$1:A147)+1,"")</f>
        <v/>
      </c>
      <c r="B148" s="3">
        <f>IF(A148&lt;&gt;"","iCoA-PP_26-"&amp;TEXT(A148,"000"),IF(C148="n/a","not needed","— at issue —"))</f>
        <v/>
      </c>
      <c r="C148" s="6" t="inlineStr">
        <is>
          <t>no</t>
        </is>
      </c>
      <c r="D148" s="5">
        <f>IF(A148="","",IF(G148="legacy",DATE(2026,5,15),IF(ISNUMBER(F148),(F148+5)+CHOOSE(WEEKDAY(F148+5,2),0,0,0,0,0,2,1),"")))</f>
        <v/>
      </c>
      <c r="E148" s="5" t="inlineStr">
        <is>
          <t>at retest sampling</t>
        </is>
      </c>
      <c r="F148" s="5">
        <f>IFERROR(INDEX('Batch Dates'!$G:$G,MATCH(J148,'Batch Dates'!$C:$C,0)),IFERROR(INDEX('Batch Dates'!$G:$G,MATCH(I148,'Batch Dates'!$B:$B,0)),""))</f>
        <v/>
      </c>
      <c r="G148" s="2" t="inlineStr">
        <is>
          <t>legacy</t>
        </is>
      </c>
      <c r="H148" s="2" t="inlineStr">
        <is>
          <t>retest — sampled — Tranche 2/3 (potency and mycotoxins pending)</t>
        </is>
      </c>
      <c r="I148" s="3" t="inlineStr">
        <is>
          <t>GG112501</t>
        </is>
      </c>
      <c r="J148" s="2" t="inlineStr">
        <is>
          <t>P060252</t>
        </is>
      </c>
      <c r="K148" s="2" t="inlineStr">
        <is>
          <t>Gorilla Glue</t>
        </is>
      </c>
      <c r="L148" s="2" t="inlineStr">
        <is>
          <t>Ident A + Ident B + Foreign matter</t>
        </is>
      </c>
      <c r="M148" s="6" t="inlineStr">
        <is>
          <t>—</t>
        </is>
      </c>
      <c r="N148" s="2">
        <f>IFERROR(INDEX('CoQ Register'!$B:$B,MATCH("P060252|R",'CoQ Register'!$S:$S,0)),"—")</f>
        <v/>
      </c>
      <c r="O148" s="6" t="inlineStr">
        <is>
          <t>—</t>
        </is>
      </c>
      <c r="P148" s="2" t="inlineStr">
        <is>
          <t>P060252|R</t>
        </is>
      </c>
      <c r="Q148" s="9" t="inlineStr">
        <is>
          <t>not yet issuable — retest assay not yet on file</t>
        </is>
      </c>
    </row>
    <row r="149">
      <c r="A149" s="2">
        <f>IF(C149="yes",COUNT(A$1:A148)+1,"")</f>
        <v/>
      </c>
      <c r="B149" s="3">
        <f>IF(A149&lt;&gt;"","iCoA-PP_26-"&amp;TEXT(A149,"000"),IF(C149="n/a","not needed","— at issue —"))</f>
        <v/>
      </c>
      <c r="C149" s="6" t="inlineStr">
        <is>
          <t>no</t>
        </is>
      </c>
      <c r="D149" s="5">
        <f>IF(A149="","",IF(G149="legacy",DATE(2026,5,15),IF(ISNUMBER(F149),(F149+5)+CHOOSE(WEEKDAY(F149+5,2),0,0,0,0,0,2,1),"")))</f>
        <v/>
      </c>
      <c r="E149" s="5" t="inlineStr">
        <is>
          <t>at retest sampling</t>
        </is>
      </c>
      <c r="F149" s="5">
        <f>IFERROR(INDEX('Batch Dates'!$G:$G,MATCH(J149,'Batch Dates'!$C:$C,0)),IFERROR(INDEX('Batch Dates'!$G:$G,MATCH(I149,'Batch Dates'!$B:$B,0)),""))</f>
        <v/>
      </c>
      <c r="G149" s="2" t="inlineStr">
        <is>
          <t>legacy</t>
        </is>
      </c>
      <c r="H149" s="2" t="inlineStr">
        <is>
          <t>retest — sampled — Tranche 2/3 (potency and mycotoxins pending)</t>
        </is>
      </c>
      <c r="I149" s="3" t="inlineStr">
        <is>
          <t>GP062501</t>
        </is>
      </c>
      <c r="J149" s="2" t="inlineStr">
        <is>
          <t>P050202</t>
        </is>
      </c>
      <c r="K149" s="2" t="inlineStr">
        <is>
          <t>Grape Pie</t>
        </is>
      </c>
      <c r="L149" s="2" t="inlineStr">
        <is>
          <t>Ident A + Ident B + Foreign matter</t>
        </is>
      </c>
      <c r="M149" s="6" t="inlineStr">
        <is>
          <t>—</t>
        </is>
      </c>
      <c r="N149" s="2">
        <f>IFERROR(INDEX('CoQ Register'!$B:$B,MATCH("P050202|R",'CoQ Register'!$S:$S,0)),"—")</f>
        <v/>
      </c>
      <c r="O149" s="6" t="inlineStr">
        <is>
          <t>—</t>
        </is>
      </c>
      <c r="P149" s="2" t="inlineStr">
        <is>
          <t>P050202|R</t>
        </is>
      </c>
      <c r="Q149" s="9" t="inlineStr">
        <is>
          <t>not yet issuable — retest assay not yet on file</t>
        </is>
      </c>
    </row>
    <row r="150">
      <c r="A150" s="2">
        <f>IF(C150="yes",COUNT(A$1:A149)+1,"")</f>
        <v/>
      </c>
      <c r="B150" s="3">
        <f>IF(A150&lt;&gt;"","iCoA-PP_26-"&amp;TEXT(A150,"000"),IF(C150="n/a","not needed","— at issue —"))</f>
        <v/>
      </c>
      <c r="C150" s="6" t="inlineStr">
        <is>
          <t>no</t>
        </is>
      </c>
      <c r="D150" s="5">
        <f>IF(A150="","",IF(G150="legacy",DATE(2026,5,15),IF(ISNUMBER(F150),(F150+5)+CHOOSE(WEEKDAY(F150+5,2),0,0,0,0,0,2,1),"")))</f>
        <v/>
      </c>
      <c r="E150" s="5" t="inlineStr">
        <is>
          <t>at retest sampling</t>
        </is>
      </c>
      <c r="F150" s="5">
        <f>IFERROR(INDEX('Batch Dates'!$G:$G,MATCH(J150,'Batch Dates'!$C:$C,0)),IFERROR(INDEX('Batch Dates'!$G:$G,MATCH(I150,'Batch Dates'!$B:$B,0)),""))</f>
        <v/>
      </c>
      <c r="G150" s="2" t="inlineStr">
        <is>
          <t>post-SOP</t>
        </is>
      </c>
      <c r="H150" s="2" t="inlineStr">
        <is>
          <t>retest — sampled — Tranche 2/3 (potency and mycotoxins pending)</t>
        </is>
      </c>
      <c r="I150" s="3" t="inlineStr">
        <is>
          <t>JD012601＊</t>
        </is>
      </c>
      <c r="J150" s="2" t="inlineStr">
        <is>
          <t>P060312</t>
        </is>
      </c>
      <c r="K150" s="2" t="inlineStr">
        <is>
          <t>Jelly Donutz</t>
        </is>
      </c>
      <c r="L150" s="2" t="inlineStr">
        <is>
          <t>Ident A + Ident B + Foreign matter</t>
        </is>
      </c>
      <c r="M150" s="6" t="inlineStr">
        <is>
          <t>—</t>
        </is>
      </c>
      <c r="N150" s="2">
        <f>IFERROR(INDEX('CoQ Register'!$B:$B,MATCH("P060312|R",'CoQ Register'!$S:$S,0)),"—")</f>
        <v/>
      </c>
      <c r="O150" s="6" t="inlineStr">
        <is>
          <t>—</t>
        </is>
      </c>
      <c r="P150" s="2" t="inlineStr">
        <is>
          <t>P060312|R</t>
        </is>
      </c>
      <c r="Q150" s="9" t="inlineStr">
        <is>
          <t>not yet issuable — retest assay not yet on file</t>
        </is>
      </c>
    </row>
    <row r="151">
      <c r="A151" s="2">
        <f>IF(C151="yes",COUNT(A$1:A150)+1,"")</f>
        <v/>
      </c>
      <c r="B151" s="3">
        <f>IF(A151&lt;&gt;"","iCoA-PP_26-"&amp;TEXT(A151,"000"),IF(C151="n/a","not needed","— at issue —"))</f>
        <v/>
      </c>
      <c r="C151" s="6" t="inlineStr">
        <is>
          <t>no</t>
        </is>
      </c>
      <c r="D151" s="5">
        <f>IF(A151="","",IF(G151="legacy",DATE(2026,5,15),IF(ISNUMBER(F151),(F151+5)+CHOOSE(WEEKDAY(F151+5,2),0,0,0,0,0,2,1),"")))</f>
        <v/>
      </c>
      <c r="E151" s="5" t="inlineStr">
        <is>
          <t>at retest sampling</t>
        </is>
      </c>
      <c r="F151" s="5">
        <f>IFERROR(INDEX('Batch Dates'!$G:$G,MATCH(J151,'Batch Dates'!$C:$C,0)),IFERROR(INDEX('Batch Dates'!$G:$G,MATCH(I151,'Batch Dates'!$B:$B,0)),""))</f>
        <v/>
      </c>
      <c r="G151" s="2" t="inlineStr">
        <is>
          <t>post-SOP</t>
        </is>
      </c>
      <c r="H151" s="2" t="inlineStr">
        <is>
          <t>retest — not yet sampled</t>
        </is>
      </c>
      <c r="I151" s="3" t="inlineStr">
        <is>
          <t>SCR112501</t>
        </is>
      </c>
      <c r="J151" s="2" t="inlineStr">
        <is>
          <t>P060282</t>
        </is>
      </c>
      <c r="K151" s="2" t="inlineStr">
        <is>
          <t>Scrambler</t>
        </is>
      </c>
      <c r="L151" s="2" t="inlineStr">
        <is>
          <t>Ident A + Ident B + Foreign matter</t>
        </is>
      </c>
      <c r="M151" s="6" t="inlineStr">
        <is>
          <t>—</t>
        </is>
      </c>
      <c r="N151" s="2">
        <f>IFERROR(INDEX('CoQ Register'!$B:$B,MATCH("P060282|R",'CoQ Register'!$S:$S,0)),"—")</f>
        <v/>
      </c>
      <c r="O151" s="6" t="inlineStr">
        <is>
          <t>—</t>
        </is>
      </c>
      <c r="P151" s="2" t="inlineStr">
        <is>
          <t>P060282|R</t>
        </is>
      </c>
      <c r="Q151" s="9" t="inlineStr">
        <is>
          <t>not yet issuable — retest assay not yet on file</t>
        </is>
      </c>
    </row>
    <row r="152">
      <c r="A152" s="2">
        <f>IF(C152="yes",COUNT(A$1:A151)+1,"")</f>
        <v/>
      </c>
      <c r="B152" s="3">
        <f>IF(A152&lt;&gt;"","iCoA-PP_26-"&amp;TEXT(A152,"000"),IF(C152="n/a","not needed","— at issue —"))</f>
        <v/>
      </c>
      <c r="C152" s="6" t="inlineStr">
        <is>
          <t>no</t>
        </is>
      </c>
      <c r="D152" s="5">
        <f>IF(A152="","",IF(G152="legacy",DATE(2026,5,15),IF(ISNUMBER(F152),(F152+5)+CHOOSE(WEEKDAY(F152+5,2),0,0,0,0,0,2,1),"")))</f>
        <v/>
      </c>
      <c r="E152" s="5" t="inlineStr">
        <is>
          <t>at retest sampling</t>
        </is>
      </c>
      <c r="F152" s="5">
        <f>IFERROR(INDEX('Batch Dates'!$G:$G,MATCH(J152,'Batch Dates'!$C:$C,0)),IFERROR(INDEX('Batch Dates'!$G:$G,MATCH(I152,'Batch Dates'!$B:$B,0)),""))</f>
        <v/>
      </c>
      <c r="G152" s="2" t="inlineStr">
        <is>
          <t>post-SOP</t>
        </is>
      </c>
      <c r="H152" s="2" t="inlineStr">
        <is>
          <t>retest — not yet sampled</t>
        </is>
      </c>
      <c r="I152" s="3" t="inlineStr">
        <is>
          <t>FB012601_1</t>
        </is>
      </c>
      <c r="J152" s="2" t="inlineStr">
        <is>
          <t>P060322</t>
        </is>
      </c>
      <c r="K152" s="2" t="inlineStr">
        <is>
          <t>Fat Bastard</t>
        </is>
      </c>
      <c r="L152" s="2" t="inlineStr">
        <is>
          <t>Ident A + Ident B + Foreign matter</t>
        </is>
      </c>
      <c r="M152" s="6" t="inlineStr">
        <is>
          <t>—</t>
        </is>
      </c>
      <c r="N152" s="2">
        <f>IFERROR(INDEX('CoQ Register'!$B:$B,MATCH("P060322|R",'CoQ Register'!$S:$S,0)),"—")</f>
        <v/>
      </c>
      <c r="O152" s="6" t="inlineStr">
        <is>
          <t>—</t>
        </is>
      </c>
      <c r="P152" s="2" t="inlineStr">
        <is>
          <t>P060322|R</t>
        </is>
      </c>
      <c r="Q152" s="9" t="inlineStr">
        <is>
          <t>not yet issuable — retest assay not yet on file</t>
        </is>
      </c>
    </row>
    <row r="153">
      <c r="A153" s="2">
        <f>IF(C153="yes",COUNT(A$1:A152)+1,"")</f>
        <v/>
      </c>
      <c r="B153" s="3">
        <f>IF(A153&lt;&gt;"","iCoA-PP_26-"&amp;TEXT(A153,"000"),IF(C153="n/a","not needed","— at issue —"))</f>
        <v/>
      </c>
      <c r="C153" s="6" t="inlineStr">
        <is>
          <t>no</t>
        </is>
      </c>
      <c r="D153" s="5">
        <f>IF(A153="","",IF(G153="legacy",DATE(2026,5,15),IF(ISNUMBER(F153),(F153+5)+CHOOSE(WEEKDAY(F153+5,2),0,0,0,0,0,2,1),"")))</f>
        <v/>
      </c>
      <c r="E153" s="5" t="inlineStr">
        <is>
          <t>at retest sampling</t>
        </is>
      </c>
      <c r="F153" s="5">
        <f>IFERROR(INDEX('Batch Dates'!$G:$G,MATCH(J153,'Batch Dates'!$C:$C,0)),IFERROR(INDEX('Batch Dates'!$G:$G,MATCH(I153,'Batch Dates'!$B:$B,0)),""))</f>
        <v/>
      </c>
      <c r="G153" s="2" t="inlineStr">
        <is>
          <t>post-SOP</t>
        </is>
      </c>
      <c r="H153" s="2" t="inlineStr">
        <is>
          <t>retest — not yet sampled</t>
        </is>
      </c>
      <c r="I153" s="3" t="inlineStr">
        <is>
          <t>FB012603</t>
        </is>
      </c>
      <c r="J153" s="2" t="inlineStr">
        <is>
          <t>P060432</t>
        </is>
      </c>
      <c r="K153" s="2" t="inlineStr">
        <is>
          <t>Fat Bastard</t>
        </is>
      </c>
      <c r="L153" s="2" t="inlineStr">
        <is>
          <t>Ident A + Ident B + Foreign matter</t>
        </is>
      </c>
      <c r="M153" s="6" t="inlineStr">
        <is>
          <t>—</t>
        </is>
      </c>
      <c r="N153" s="2">
        <f>IFERROR(INDEX('CoQ Register'!$B:$B,MATCH("P060432|R",'CoQ Register'!$S:$S,0)),"—")</f>
        <v/>
      </c>
      <c r="O153" s="6" t="inlineStr">
        <is>
          <t>—</t>
        </is>
      </c>
      <c r="P153" s="2" t="inlineStr">
        <is>
          <t>P060432|R</t>
        </is>
      </c>
      <c r="Q153" s="9" t="inlineStr">
        <is>
          <t>not yet issuable — retest assay not yet on file</t>
        </is>
      </c>
    </row>
    <row r="154">
      <c r="A154" s="2">
        <f>IF(C154="yes",COUNT(A$1:A153)+1,"")</f>
        <v/>
      </c>
      <c r="B154" s="3">
        <f>IF(A154&lt;&gt;"","iCoA-PP_26-"&amp;TEXT(A154,"000"),IF(C154="n/a","not needed","— at issue —"))</f>
        <v/>
      </c>
      <c r="C154" s="6" t="inlineStr">
        <is>
          <t>no</t>
        </is>
      </c>
      <c r="D154" s="5">
        <f>IF(A154="","",IF(G154="legacy",DATE(2026,5,15),IF(ISNUMBER(F154),(F154+5)+CHOOSE(WEEKDAY(F154+5,2),0,0,0,0,0,2,1),"")))</f>
        <v/>
      </c>
      <c r="E154" s="5" t="inlineStr">
        <is>
          <t>at retest sampling</t>
        </is>
      </c>
      <c r="F154" s="5">
        <f>IFERROR(INDEX('Batch Dates'!$G:$G,MATCH(J154,'Batch Dates'!$C:$C,0)),IFERROR(INDEX('Batch Dates'!$G:$G,MATCH(I154,'Batch Dates'!$B:$B,0)),""))</f>
        <v/>
      </c>
      <c r="G154" s="2" t="inlineStr">
        <is>
          <t>post-SOP</t>
        </is>
      </c>
      <c r="H154" s="2" t="inlineStr">
        <is>
          <t>retest — not yet sampled</t>
        </is>
      </c>
      <c r="I154" s="3" t="inlineStr">
        <is>
          <t>FB012603V</t>
        </is>
      </c>
      <c r="J154" s="2" t="inlineStr">
        <is>
          <t>P060392</t>
        </is>
      </c>
      <c r="K154" s="2" t="inlineStr">
        <is>
          <t>Fat Bastard</t>
        </is>
      </c>
      <c r="L154" s="2" t="inlineStr">
        <is>
          <t>Ident A + Ident B + Foreign matter</t>
        </is>
      </c>
      <c r="M154" s="6" t="inlineStr">
        <is>
          <t>—</t>
        </is>
      </c>
      <c r="N154" s="2">
        <f>IFERROR(INDEX('CoQ Register'!$B:$B,MATCH("P060392|R",'CoQ Register'!$S:$S,0)),"—")</f>
        <v/>
      </c>
      <c r="O154" s="6" t="inlineStr">
        <is>
          <t>—</t>
        </is>
      </c>
      <c r="P154" s="2" t="inlineStr">
        <is>
          <t>P060392|R</t>
        </is>
      </c>
      <c r="Q154" s="9" t="inlineStr">
        <is>
          <t>not yet issuable — retest assay not yet on file</t>
        </is>
      </c>
    </row>
    <row r="155">
      <c r="A155" s="2">
        <f>IF(C155="yes",COUNT(A$1:A154)+1,"")</f>
        <v/>
      </c>
      <c r="B155" s="3">
        <f>IF(A155&lt;&gt;"","iCoA-PP_26-"&amp;TEXT(A155,"000"),IF(C155="n/a","not needed","— at issue —"))</f>
        <v/>
      </c>
      <c r="C155" s="6" t="inlineStr">
        <is>
          <t>no</t>
        </is>
      </c>
      <c r="D155" s="5">
        <f>IF(A155="","",IF(G155="legacy",DATE(2026,5,15),IF(ISNUMBER(F155),(F155+5)+CHOOSE(WEEKDAY(F155+5,2),0,0,0,0,0,2,1),"")))</f>
        <v/>
      </c>
      <c r="E155" s="5" t="inlineStr">
        <is>
          <t>at retest sampling</t>
        </is>
      </c>
      <c r="F155" s="5">
        <f>IFERROR(INDEX('Batch Dates'!$G:$G,MATCH(J155,'Batch Dates'!$C:$C,0)),IFERROR(INDEX('Batch Dates'!$G:$G,MATCH(I155,'Batch Dates'!$B:$B,0)),""))</f>
        <v/>
      </c>
      <c r="G155" s="2" t="inlineStr">
        <is>
          <t>post-SOP</t>
        </is>
      </c>
      <c r="H155" s="2" t="inlineStr">
        <is>
          <t>retest — not yet sampled</t>
        </is>
      </c>
      <c r="I155" s="3" t="inlineStr">
        <is>
          <t>JD022601</t>
        </is>
      </c>
      <c r="J155" s="2" t="inlineStr">
        <is>
          <t>P060482</t>
        </is>
      </c>
      <c r="K155" s="2" t="inlineStr">
        <is>
          <t>JellyDonutz</t>
        </is>
      </c>
      <c r="L155" s="2" t="inlineStr">
        <is>
          <t>Ident A + Ident B + Foreign matter</t>
        </is>
      </c>
      <c r="M155" s="6" t="inlineStr">
        <is>
          <t>—</t>
        </is>
      </c>
      <c r="N155" s="2">
        <f>IFERROR(INDEX('CoQ Register'!$B:$B,MATCH("P060482|R",'CoQ Register'!$S:$S,0)),"—")</f>
        <v/>
      </c>
      <c r="O155" s="6" t="inlineStr">
        <is>
          <t>—</t>
        </is>
      </c>
      <c r="P155" s="2" t="inlineStr">
        <is>
          <t>P060482|R</t>
        </is>
      </c>
      <c r="Q155" s="9" t="inlineStr">
        <is>
          <t>not yet issuable — retest assay not yet on file</t>
        </is>
      </c>
    </row>
    <row r="156">
      <c r="A156" s="2">
        <f>IF(C156="yes",COUNT(A$1:A155)+1,"")</f>
        <v/>
      </c>
      <c r="B156" s="3">
        <f>IF(A156&lt;&gt;"","iCoA-PP_26-"&amp;TEXT(A156,"000"),IF(C156="n/a","not needed","— at issue —"))</f>
        <v/>
      </c>
      <c r="C156" s="6" t="inlineStr">
        <is>
          <t>no</t>
        </is>
      </c>
      <c r="D156" s="5">
        <f>IF(A156="","",IF(G156="legacy",DATE(2026,5,15),IF(ISNUMBER(F156),(F156+5)+CHOOSE(WEEKDAY(F156+5,2),0,0,0,0,0,2,1),"")))</f>
        <v/>
      </c>
      <c r="E156" s="5" t="inlineStr">
        <is>
          <t>at retest sampling</t>
        </is>
      </c>
      <c r="F156" s="5">
        <f>IFERROR(INDEX('Batch Dates'!$G:$G,MATCH(J156,'Batch Dates'!$C:$C,0)),IFERROR(INDEX('Batch Dates'!$G:$G,MATCH(I156,'Batch Dates'!$B:$B,0)),""))</f>
        <v/>
      </c>
      <c r="G156" s="2" t="inlineStr">
        <is>
          <t>post-SOP</t>
        </is>
      </c>
      <c r="H156" s="2" t="inlineStr">
        <is>
          <t>retest — not yet sampled</t>
        </is>
      </c>
      <c r="I156" s="3" t="inlineStr">
        <is>
          <t>SCR022601</t>
        </is>
      </c>
      <c r="J156" s="2" t="inlineStr">
        <is>
          <t>P060442</t>
        </is>
      </c>
      <c r="K156" s="2" t="inlineStr">
        <is>
          <t>Scrambler</t>
        </is>
      </c>
      <c r="L156" s="2" t="inlineStr">
        <is>
          <t>Ident A + Ident B + Foreign matter</t>
        </is>
      </c>
      <c r="M156" s="6" t="inlineStr">
        <is>
          <t>—</t>
        </is>
      </c>
      <c r="N156" s="2">
        <f>IFERROR(INDEX('CoQ Register'!$B:$B,MATCH("P060442|R",'CoQ Register'!$S:$S,0)),"—")</f>
        <v/>
      </c>
      <c r="O156" s="6" t="inlineStr">
        <is>
          <t>—</t>
        </is>
      </c>
      <c r="P156" s="2" t="inlineStr">
        <is>
          <t>P060442|R</t>
        </is>
      </c>
      <c r="Q156" s="9" t="inlineStr">
        <is>
          <t>not yet issuable — retest assay not yet on file</t>
        </is>
      </c>
    </row>
    <row r="157">
      <c r="A157" s="2">
        <f>IF(C157="yes",COUNT(A$1:A156)+1,"")</f>
        <v/>
      </c>
      <c r="B157" s="3">
        <f>IF(A157&lt;&gt;"","iCoA-PP_26-"&amp;TEXT(A157,"000"),IF(C157="n/a","not needed","— at issue —"))</f>
        <v/>
      </c>
      <c r="C157" s="6" t="inlineStr">
        <is>
          <t>no</t>
        </is>
      </c>
      <c r="D157" s="5">
        <f>IF(A157="","",IF(G157="legacy",DATE(2026,5,15),IF(ISNUMBER(F157),(F157+5)+CHOOSE(WEEKDAY(F157+5,2),0,0,0,0,0,2,1),"")))</f>
        <v/>
      </c>
      <c r="E157" s="5" t="inlineStr">
        <is>
          <t>at retest sampling</t>
        </is>
      </c>
      <c r="F157" s="5">
        <f>IFERROR(INDEX('Batch Dates'!$G:$G,MATCH(J157,'Batch Dates'!$C:$C,0)),IFERROR(INDEX('Batch Dates'!$G:$G,MATCH(I157,'Batch Dates'!$B:$B,0)),""))</f>
        <v/>
      </c>
      <c r="G157" s="2" t="inlineStr">
        <is>
          <t>post-SOP</t>
        </is>
      </c>
      <c r="H157" s="2" t="inlineStr">
        <is>
          <t>retest — not yet sampled</t>
        </is>
      </c>
      <c r="I157" s="3" t="inlineStr">
        <is>
          <t>FB032601</t>
        </is>
      </c>
      <c r="J157" s="2" t="inlineStr">
        <is>
          <t>P060452</t>
        </is>
      </c>
      <c r="K157" s="2" t="inlineStr">
        <is>
          <t>FatBastard</t>
        </is>
      </c>
      <c r="L157" s="2" t="inlineStr">
        <is>
          <t>Ident A + Ident B + Foreign matter</t>
        </is>
      </c>
      <c r="M157" s="6" t="inlineStr">
        <is>
          <t>—</t>
        </is>
      </c>
      <c r="N157" s="2">
        <f>IFERROR(INDEX('CoQ Register'!$B:$B,MATCH("P060452|R",'CoQ Register'!$S:$S,0)),"—")</f>
        <v/>
      </c>
      <c r="O157" s="6" t="inlineStr">
        <is>
          <t>—</t>
        </is>
      </c>
      <c r="P157" s="2" t="inlineStr">
        <is>
          <t>P060452|R</t>
        </is>
      </c>
      <c r="Q157" s="9" t="inlineStr">
        <is>
          <t>not yet issuable — retest assay not yet on file</t>
        </is>
      </c>
    </row>
    <row r="158">
      <c r="A158" s="2">
        <f>IF(C158="yes",COUNT(A$1:A157)+1,"")</f>
        <v/>
      </c>
      <c r="B158" s="3">
        <f>IF(A158&lt;&gt;"","iCoA-PP_26-"&amp;TEXT(A158,"000"),IF(C158="n/a","not needed","— at issue —"))</f>
        <v/>
      </c>
      <c r="C158" s="6" t="inlineStr">
        <is>
          <t>no</t>
        </is>
      </c>
      <c r="D158" s="5">
        <f>IF(A158="","",IF(G158="legacy",DATE(2026,5,15),IF(ISNUMBER(F158),(F158+5)+CHOOSE(WEEKDAY(F158+5,2),0,0,0,0,0,2,1),"")))</f>
        <v/>
      </c>
      <c r="E158" s="5" t="inlineStr">
        <is>
          <t>at retest sampling</t>
        </is>
      </c>
      <c r="F158" s="5">
        <f>IFERROR(INDEX('Batch Dates'!$G:$G,MATCH(J158,'Batch Dates'!$C:$C,0)),IFERROR(INDEX('Batch Dates'!$G:$G,MATCH(I158,'Batch Dates'!$B:$B,0)),""))</f>
        <v/>
      </c>
      <c r="G158" s="2" t="inlineStr">
        <is>
          <t>post-SOP</t>
        </is>
      </c>
      <c r="H158" s="2" t="inlineStr">
        <is>
          <t>retest — not yet sampled</t>
        </is>
      </c>
      <c r="I158" s="3" t="inlineStr">
        <is>
          <t>GG032601</t>
        </is>
      </c>
      <c r="J158" s="2" t="inlineStr">
        <is>
          <t>P060462</t>
        </is>
      </c>
      <c r="K158" s="2" t="inlineStr">
        <is>
          <t>GorillaGlue</t>
        </is>
      </c>
      <c r="L158" s="2" t="inlineStr">
        <is>
          <t>Ident A + Ident B + Foreign matter</t>
        </is>
      </c>
      <c r="M158" s="6" t="inlineStr">
        <is>
          <t>—</t>
        </is>
      </c>
      <c r="N158" s="2">
        <f>IFERROR(INDEX('CoQ Register'!$B:$B,MATCH("P060462|R",'CoQ Register'!$S:$S,0)),"—")</f>
        <v/>
      </c>
      <c r="O158" s="6" t="inlineStr">
        <is>
          <t>—</t>
        </is>
      </c>
      <c r="P158" s="2" t="inlineStr">
        <is>
          <t>P060462|R</t>
        </is>
      </c>
      <c r="Q158" s="9" t="inlineStr">
        <is>
          <t>not yet issuable — retest assay not yet on file</t>
        </is>
      </c>
    </row>
    <row r="160" ht="110" customHeight="1">
      <c r="A160" s="10"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FORMULAS: No. counts the issuable rows above it; the code is built from No.; the planned date is 15.05.2026 for a legacy row, else the first working day 5 days after Packaging complete; the packaging dates are looked up on Batch Dates by P batch (else by the batch as listed); CoQ (register) is looked up on the CoQ Register by Key. Insert a row, set Issuable to yes, and every code beneath moves by one — the iCoA Issuance sheet and the tracker cite this register by Key, so they follow. Rows are not re-sorted by a formula: a changed date that changes the order is a manual move. Working days are Monday to Friday; public holidays are not applied.</t>
        </is>
      </c>
    </row>
  </sheetData>
  <mergeCells count="1">
    <mergeCell ref="A160:Q160"/>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T1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8" customWidth="1" min="4" max="4"/>
    <col width="14" customWidth="1" min="5" max="5"/>
    <col width="16" customWidth="1" min="6" max="6"/>
    <col width="22" customWidth="1" min="7" max="7"/>
    <col width="16" customWidth="1" min="8" max="8"/>
    <col width="14" customWidth="1" min="9" max="9"/>
    <col width="10" customWidth="1" min="10" max="10"/>
    <col width="20" customWidth="1" min="11" max="11"/>
    <col width="16" customWidth="1" min="12" max="12"/>
    <col width="12" customWidth="1" min="13" max="13"/>
    <col width="20" customWidth="1" min="14" max="14"/>
    <col width="34" customWidth="1" min="15" max="15"/>
    <col width="26" customWidth="1" min="16" max="16"/>
    <col width="26" customWidth="1" min="17" max="17"/>
    <col width="22" customWidth="1" min="18" max="18"/>
    <col width="14" customWidth="1" min="19" max="19"/>
    <col width="64" customWidth="1" min="20" max="20"/>
  </cols>
  <sheetData>
    <row r="1" ht="22" customHeight="1">
      <c r="A1" s="1" t="inlineStr">
        <is>
          <t>No.</t>
        </is>
      </c>
      <c r="B1" s="1" t="inlineStr">
        <is>
          <t>CoQ code</t>
        </is>
      </c>
      <c r="C1" s="1" t="inlineStr">
        <is>
          <t>Issuable</t>
        </is>
      </c>
      <c r="D1" s="1" t="inlineStr">
        <is>
          <t>Issue date (planned)</t>
        </is>
      </c>
      <c r="E1" s="1" t="inlineStr">
        <is>
          <t>Rule date</t>
        </is>
      </c>
      <c r="F1" s="1" t="inlineStr">
        <is>
          <t>Latest eCoA cited (date)</t>
        </is>
      </c>
      <c r="G1" s="1" t="inlineStr">
        <is>
          <t>Latest eCoA cited (code)</t>
        </is>
      </c>
      <c r="H1" s="1" t="inlineStr">
        <is>
          <t>iCoA (register)</t>
        </is>
      </c>
      <c r="I1" s="1" t="inlineStr">
        <is>
          <t>iCoA issue date</t>
        </is>
      </c>
      <c r="J1" s="1" t="inlineStr">
        <is>
          <t>Group</t>
        </is>
      </c>
      <c r="K1" s="1" t="inlineStr">
        <is>
          <t>Series</t>
        </is>
      </c>
      <c r="L1" s="1" t="inlineStr">
        <is>
          <t>CU Batch</t>
        </is>
      </c>
      <c r="M1" s="1" t="inlineStr">
        <is>
          <t>P Batch</t>
        </is>
      </c>
      <c r="N1" s="1" t="inlineStr">
        <is>
          <t>Strain</t>
        </is>
      </c>
      <c r="O1" s="1" t="inlineStr">
        <is>
          <t>Ident C — eCoA (Total THC)</t>
        </is>
      </c>
      <c r="P1" s="1" t="inlineStr">
        <is>
          <t>CNP references</t>
        </is>
      </c>
      <c r="Q1" s="1" t="inlineStr">
        <is>
          <t>Supersedes (old in-house CoA)</t>
        </is>
      </c>
      <c r="R1" s="1" t="inlineStr">
        <is>
          <t>Plan reference (31.08.2026)</t>
        </is>
      </c>
      <c r="S1" s="1" t="inlineStr">
        <is>
          <t>Key</t>
        </is>
      </c>
      <c r="T1" s="1" t="inlineStr">
        <is>
          <t>Status</t>
        </is>
      </c>
    </row>
    <row r="2">
      <c r="A2" s="2">
        <f>IF(C2="yes",COUNT(A$1:A1)+1,"")</f>
        <v/>
      </c>
      <c r="B2" s="3">
        <f>IF(A2&lt;&gt;"","CoQ-PP_26-"&amp;TEXT(A2,"000"),"— at issue —")</f>
        <v/>
      </c>
      <c r="C2" s="4" t="inlineStr">
        <is>
          <t>yes</t>
        </is>
      </c>
      <c r="D2" s="5">
        <f>IF(A2="","",MAX(E2,IF(ISNUMBER(I2),I2,0),IFERROR(IF(ISNUMBER(INDEX('iCoA Register'!$F:$F,MATCH(S2,'iCoA Register'!$P:$P,0))),(INDEX('iCoA Register'!$F:$F,MATCH(S2,'iCoA Register'!$P:$P,0)))+CHOOSE(WEEKDAY(INDEX('iCoA Register'!$F:$F,MATCH(S2,'iCoA Register'!$P:$P,0)),2),0,0,0,0,0,2,1),0),0)))</f>
        <v/>
      </c>
      <c r="E2" s="5">
        <f>IF(ISNUMBER(F2),IF(AND(J2="legacy",F2&lt;=DATE(2026,5,27)),DATE(2026,5,27),MAX(DATE(2026,5,27),(F2+7)+CHOOSE(WEEKDAY(F2+7,2),0,0,0,0,0,2,1))),IF(J2="legacy",DATE(2026,5,27),""))</f>
        <v/>
      </c>
      <c r="F2" s="5" t="n">
        <v>45715</v>
      </c>
      <c r="G2" s="2" t="inlineStr">
        <is>
          <t>750-2025</t>
        </is>
      </c>
      <c r="H2" s="2">
        <f>IFERROR(INDEX('iCoA Register'!$B:$B,MATCH("CJ1024|I",'iCoA Register'!$P:$P,0)),"—")</f>
        <v/>
      </c>
      <c r="I2" s="5">
        <f>IFERROR(INDEX('iCoA Register'!$D:$D,MATCH("CJ1024|I",'iCoA Register'!$P:$P,0)),"")</f>
        <v/>
      </c>
      <c r="J2" s="2" t="inlineStr">
        <is>
          <t>legacy</t>
        </is>
      </c>
      <c r="K2" s="2" t="inlineStr">
        <is>
          <t>initial release</t>
        </is>
      </c>
      <c r="L2" s="3" t="inlineStr">
        <is>
          <t>CJ1024</t>
        </is>
      </c>
      <c r="M2" s="2" t="inlineStr">
        <is>
          <t>N/A — no P batch assigned</t>
        </is>
      </c>
      <c r="N2" s="2" t="inlineStr">
        <is>
          <t>Cap Junky</t>
        </is>
      </c>
      <c r="O2" s="2" t="inlineStr">
        <is>
          <t>ППК25052, (26.02.2025) [CNP]</t>
        </is>
      </c>
      <c r="P2" s="6" t="inlineStr">
        <is>
          <t>—</t>
        </is>
      </c>
      <c r="Q2" s="2" t="inlineStr">
        <is>
          <t>—</t>
        </is>
      </c>
      <c r="R2" s="2" t="inlineStr">
        <is>
          <t>(assigned on issue)</t>
        </is>
      </c>
      <c r="S2" s="2" t="inlineStr">
        <is>
          <t>CJ1024|I</t>
        </is>
      </c>
      <c r="T2" s="7" t="inlineStr">
        <is>
          <t>registered — legacy series, issued 27.05.2026</t>
        </is>
      </c>
    </row>
    <row r="3">
      <c r="A3" s="2">
        <f>IF(C3="yes",COUNT(A$1:A2)+1,"")</f>
        <v/>
      </c>
      <c r="B3" s="3">
        <f>IF(A3&lt;&gt;"","CoQ-PP_26-"&amp;TEXT(A3,"000"),"— at issue —")</f>
        <v/>
      </c>
      <c r="C3" s="4" t="inlineStr">
        <is>
          <t>yes</t>
        </is>
      </c>
      <c r="D3" s="5">
        <f>IF(A3="","",MAX(E3,IF(ISNUMBER(I3),I3,0),IFERROR(IF(ISNUMBER(INDEX('iCoA Register'!$F:$F,MATCH(S3,'iCoA Register'!$P:$P,0))),(INDEX('iCoA Register'!$F:$F,MATCH(S3,'iCoA Register'!$P:$P,0)))+CHOOSE(WEEKDAY(INDEX('iCoA Register'!$F:$F,MATCH(S3,'iCoA Register'!$P:$P,0)),2),0,0,0,0,0,2,1),0),0)))</f>
        <v/>
      </c>
      <c r="E3" s="5">
        <f>IF(ISNUMBER(F3),IF(AND(J3="legacy",F3&lt;=DATE(2026,5,27)),DATE(2026,5,27),MAX(DATE(2026,5,27),(F3+7)+CHOOSE(WEEKDAY(F3+7,2),0,0,0,0,0,2,1))),IF(J3="legacy",DATE(2026,5,27),""))</f>
        <v/>
      </c>
      <c r="F3" s="5" t="n">
        <v>45715</v>
      </c>
      <c r="G3" s="2" t="inlineStr">
        <is>
          <t>751-2025</t>
        </is>
      </c>
      <c r="H3" s="2">
        <f>IFERROR(INDEX('iCoA Register'!$B:$B,MATCH("BSS1024|I",'iCoA Register'!$P:$P,0)),"—")</f>
        <v/>
      </c>
      <c r="I3" s="5">
        <f>IFERROR(INDEX('iCoA Register'!$D:$D,MATCH("BSS1024|I",'iCoA Register'!$P:$P,0)),"")</f>
        <v/>
      </c>
      <c r="J3" s="2" t="inlineStr">
        <is>
          <t>legacy</t>
        </is>
      </c>
      <c r="K3" s="2" t="inlineStr">
        <is>
          <t>initial release</t>
        </is>
      </c>
      <c r="L3" s="3" t="inlineStr">
        <is>
          <t>BSS1024</t>
        </is>
      </c>
      <c r="M3" s="2" t="inlineStr">
        <is>
          <t>N/A — no P batch assigned</t>
        </is>
      </c>
      <c r="N3" s="2" t="inlineStr">
        <is>
          <t>Blue Sunset Sherbet</t>
        </is>
      </c>
      <c r="O3" s="2" t="inlineStr">
        <is>
          <t>ППК25051, (26.02.2025) [CNP]</t>
        </is>
      </c>
      <c r="P3" s="6" t="inlineStr">
        <is>
          <t>—</t>
        </is>
      </c>
      <c r="Q3" s="2" t="inlineStr">
        <is>
          <t>—</t>
        </is>
      </c>
      <c r="R3" s="2" t="inlineStr">
        <is>
          <t>CoQ-PP-2025-0001</t>
        </is>
      </c>
      <c r="S3" s="2" t="inlineStr">
        <is>
          <t>BSS1024|I</t>
        </is>
      </c>
      <c r="T3" s="7" t="inlineStr">
        <is>
          <t>registered — legacy series, issued 27.05.2026</t>
        </is>
      </c>
    </row>
    <row r="4">
      <c r="A4" s="2">
        <f>IF(C4="yes",COUNT(A$1:A3)+1,"")</f>
        <v/>
      </c>
      <c r="B4" s="3">
        <f>IF(A4&lt;&gt;"","CoQ-PP_26-"&amp;TEXT(A4,"000"),"— at issue —")</f>
        <v/>
      </c>
      <c r="C4" s="4" t="inlineStr">
        <is>
          <t>yes</t>
        </is>
      </c>
      <c r="D4" s="5">
        <f>IF(A4="","",MAX(E4,IF(ISNUMBER(I4),I4,0),IFERROR(IF(ISNUMBER(INDEX('iCoA Register'!$F:$F,MATCH(S4,'iCoA Register'!$P:$P,0))),(INDEX('iCoA Register'!$F:$F,MATCH(S4,'iCoA Register'!$P:$P,0)))+CHOOSE(WEEKDAY(INDEX('iCoA Register'!$F:$F,MATCH(S4,'iCoA Register'!$P:$P,0)),2),0,0,0,0,0,2,1),0),0)))</f>
        <v/>
      </c>
      <c r="E4" s="5">
        <f>IF(ISNUMBER(F4),IF(AND(J4="legacy",F4&lt;=DATE(2026,5,27)),DATE(2026,5,27),MAX(DATE(2026,5,27),(F4+7)+CHOOSE(WEEKDAY(F4+7,2),0,0,0,0,0,2,1))),IF(J4="legacy",DATE(2026,5,27),""))</f>
        <v/>
      </c>
      <c r="F4" s="5" t="n">
        <v>45715</v>
      </c>
      <c r="G4" s="2" t="inlineStr">
        <is>
          <t>752-2025</t>
        </is>
      </c>
      <c r="H4" s="2">
        <f>IFERROR(INDEX('iCoA Register'!$B:$B,MATCH("BG1024|I",'iCoA Register'!$P:$P,0)),"—")</f>
        <v/>
      </c>
      <c r="I4" s="5">
        <f>IFERROR(INDEX('iCoA Register'!$D:$D,MATCH("BG1024|I",'iCoA Register'!$P:$P,0)),"")</f>
        <v/>
      </c>
      <c r="J4" s="2" t="inlineStr">
        <is>
          <t>legacy</t>
        </is>
      </c>
      <c r="K4" s="2" t="inlineStr">
        <is>
          <t>initial release</t>
        </is>
      </c>
      <c r="L4" s="3" t="inlineStr">
        <is>
          <t>BG1024</t>
        </is>
      </c>
      <c r="M4" s="2" t="inlineStr">
        <is>
          <t>N/A — no P batch assigned</t>
        </is>
      </c>
      <c r="N4" s="2" t="inlineStr">
        <is>
          <t>Blue Gelato</t>
        </is>
      </c>
      <c r="O4" s="2" t="inlineStr">
        <is>
          <t>ППК25050, (26.02.2025) [CNP]</t>
        </is>
      </c>
      <c r="P4" s="6" t="inlineStr">
        <is>
          <t>—</t>
        </is>
      </c>
      <c r="Q4" s="2" t="inlineStr">
        <is>
          <t>—</t>
        </is>
      </c>
      <c r="R4" s="2" t="inlineStr">
        <is>
          <t>CoQ-PP-2025-0002</t>
        </is>
      </c>
      <c r="S4" s="2" t="inlineStr">
        <is>
          <t>BG1024|I</t>
        </is>
      </c>
      <c r="T4" s="7" t="inlineStr">
        <is>
          <t>registered — legacy series, issued 27.05.2026</t>
        </is>
      </c>
    </row>
    <row r="5">
      <c r="A5" s="2">
        <f>IF(C5="yes",COUNT(A$1:A4)+1,"")</f>
        <v/>
      </c>
      <c r="B5" s="3">
        <f>IF(A5&lt;&gt;"","CoQ-PP_26-"&amp;TEXT(A5,"000"),"— at issue —")</f>
        <v/>
      </c>
      <c r="C5" s="4" t="inlineStr">
        <is>
          <t>yes</t>
        </is>
      </c>
      <c r="D5" s="5">
        <f>IF(A5="","",MAX(E5,IF(ISNUMBER(I5),I5,0),IFERROR(IF(ISNUMBER(INDEX('iCoA Register'!$F:$F,MATCH(S5,'iCoA Register'!$P:$P,0))),(INDEX('iCoA Register'!$F:$F,MATCH(S5,'iCoA Register'!$P:$P,0)))+CHOOSE(WEEKDAY(INDEX('iCoA Register'!$F:$F,MATCH(S5,'iCoA Register'!$P:$P,0)),2),0,0,0,0,0,2,1),0),0)))</f>
        <v/>
      </c>
      <c r="E5" s="5">
        <f>IF(ISNUMBER(F5),IF(AND(J5="legacy",F5&lt;=DATE(2026,5,27)),DATE(2026,5,27),MAX(DATE(2026,5,27),(F5+7)+CHOOSE(WEEKDAY(F5+7,2),0,0,0,0,0,2,1))),IF(J5="legacy",DATE(2026,5,27),""))</f>
        <v/>
      </c>
      <c r="F5" s="5" t="inlineStr">
        <is>
          <t>—</t>
        </is>
      </c>
      <c r="G5" s="2" t="inlineStr">
        <is>
          <t>—</t>
        </is>
      </c>
      <c r="H5" s="2">
        <f>IFERROR(INDEX('iCoA Register'!$B:$B,MATCH("GG1024|I",'iCoA Register'!$P:$P,0)),"—")</f>
        <v/>
      </c>
      <c r="I5" s="5">
        <f>IFERROR(INDEX('iCoA Register'!$D:$D,MATCH("GG1024|I",'iCoA Register'!$P:$P,0)),"")</f>
        <v/>
      </c>
      <c r="J5" s="2" t="inlineStr">
        <is>
          <t>legacy</t>
        </is>
      </c>
      <c r="K5" s="2" t="inlineStr">
        <is>
          <t>initial release</t>
        </is>
      </c>
      <c r="L5" s="3" t="inlineStr">
        <is>
          <t>GG1024</t>
        </is>
      </c>
      <c r="M5" s="2" t="inlineStr">
        <is>
          <t>N/A — no P batch assigned</t>
        </is>
      </c>
      <c r="N5" s="2" t="inlineStr">
        <is>
          <t>Gorilla Glue</t>
        </is>
      </c>
      <c r="O5" s="6" t="inlineStr">
        <is>
          <t>— no cannabinoid certificate from the initial testing —</t>
        </is>
      </c>
      <c r="P5" s="6" t="inlineStr">
        <is>
          <t>—</t>
        </is>
      </c>
      <c r="Q5" s="2" t="inlineStr">
        <is>
          <t>—</t>
        </is>
      </c>
      <c r="R5" s="2" t="inlineStr">
        <is>
          <t>CoQ-PP-2025-0003</t>
        </is>
      </c>
      <c r="S5" s="2" t="inlineStr">
        <is>
          <t>GG1024|I</t>
        </is>
      </c>
      <c r="T5" s="7" t="inlineStr">
        <is>
          <t>registered — legacy series, issued 27.05.2026 · initial certificate to locate (CNP): #3, #4, #5, #6, #8, #9, #10, #11, #12</t>
        </is>
      </c>
    </row>
    <row r="6">
      <c r="A6" s="2">
        <f>IF(C6="yes",COUNT(A$1:A5)+1,"")</f>
        <v/>
      </c>
      <c r="B6" s="3">
        <f>IF(A6&lt;&gt;"","CoQ-PP_26-"&amp;TEXT(A6,"000"),"— at issue —")</f>
        <v/>
      </c>
      <c r="C6" s="4" t="inlineStr">
        <is>
          <t>yes</t>
        </is>
      </c>
      <c r="D6" s="5">
        <f>IF(A6="","",MAX(E6,IF(ISNUMBER(I6),I6,0),IFERROR(IF(ISNUMBER(INDEX('iCoA Register'!$F:$F,MATCH(S6,'iCoA Register'!$P:$P,0))),(INDEX('iCoA Register'!$F:$F,MATCH(S6,'iCoA Register'!$P:$P,0)))+CHOOSE(WEEKDAY(INDEX('iCoA Register'!$F:$F,MATCH(S6,'iCoA Register'!$P:$P,0)),2),0,0,0,0,0,2,1),0),0)))</f>
        <v/>
      </c>
      <c r="E6" s="5">
        <f>IF(ISNUMBER(F6),IF(AND(J6="legacy",F6&lt;=DATE(2026,5,27)),DATE(2026,5,27),MAX(DATE(2026,5,27),(F6+7)+CHOOSE(WEEKDAY(F6+7,2),0,0,0,0,0,2,1))),IF(J6="legacy",DATE(2026,5,27),""))</f>
        <v/>
      </c>
      <c r="F6" s="5" t="inlineStr">
        <is>
          <t>—</t>
        </is>
      </c>
      <c r="G6" s="2" t="inlineStr">
        <is>
          <t>—</t>
        </is>
      </c>
      <c r="H6" s="2">
        <f>IFERROR(INDEX('iCoA Register'!$B:$B,MATCH("HPA1024|I",'iCoA Register'!$P:$P,0)),"—")</f>
        <v/>
      </c>
      <c r="I6" s="5">
        <f>IFERROR(INDEX('iCoA Register'!$D:$D,MATCH("HPA1024|I",'iCoA Register'!$P:$P,0)),"")</f>
        <v/>
      </c>
      <c r="J6" s="2" t="inlineStr">
        <is>
          <t>legacy</t>
        </is>
      </c>
      <c r="K6" s="2" t="inlineStr">
        <is>
          <t>initial release</t>
        </is>
      </c>
      <c r="L6" s="3" t="inlineStr">
        <is>
          <t>HPA1024</t>
        </is>
      </c>
      <c r="M6" s="2" t="inlineStr">
        <is>
          <t>N/A — no P batch assigned</t>
        </is>
      </c>
      <c r="N6" s="2" t="inlineStr">
        <is>
          <t>HighProAmnesia</t>
        </is>
      </c>
      <c r="O6" s="6" t="inlineStr">
        <is>
          <t>— no cannabinoid certificate from the initial testing —</t>
        </is>
      </c>
      <c r="P6" s="6" t="inlineStr">
        <is>
          <t>—</t>
        </is>
      </c>
      <c r="Q6" s="2" t="inlineStr">
        <is>
          <t>—</t>
        </is>
      </c>
      <c r="R6" s="2" t="inlineStr">
        <is>
          <t>CoQ-PP-2025-0004</t>
        </is>
      </c>
      <c r="S6" s="2" t="inlineStr">
        <is>
          <t>HPA1024|I</t>
        </is>
      </c>
      <c r="T6" s="7" t="inlineStr">
        <is>
          <t>registered — legacy series, issued 27.05.2026 · initial certificate to locate (CNP): #3, #4, #5, #6, #8, #9, #10, #11, #12</t>
        </is>
      </c>
    </row>
    <row r="7">
      <c r="A7" s="2">
        <f>IF(C7="yes",COUNT(A$1:A6)+1,"")</f>
        <v/>
      </c>
      <c r="B7" s="3">
        <f>IF(A7&lt;&gt;"","CoQ-PP_26-"&amp;TEXT(A7,"000"),"— at issue —")</f>
        <v/>
      </c>
      <c r="C7" s="4" t="inlineStr">
        <is>
          <t>yes</t>
        </is>
      </c>
      <c r="D7" s="5">
        <f>IF(A7="","",MAX(E7,IF(ISNUMBER(I7),I7,0),IFERROR(IF(ISNUMBER(INDEX('iCoA Register'!$F:$F,MATCH(S7,'iCoA Register'!$P:$P,0))),(INDEX('iCoA Register'!$F:$F,MATCH(S7,'iCoA Register'!$P:$P,0)))+CHOOSE(WEEKDAY(INDEX('iCoA Register'!$F:$F,MATCH(S7,'iCoA Register'!$P:$P,0)),2),0,0,0,0,0,2,1),0),0)))</f>
        <v/>
      </c>
      <c r="E7" s="5">
        <f>IF(ISNUMBER(F7),IF(AND(J7="legacy",F7&lt;=DATE(2026,5,27)),DATE(2026,5,27),MAX(DATE(2026,5,27),(F7+7)+CHOOSE(WEEKDAY(F7+7,2),0,0,0,0,0,2,1))),IF(J7="legacy",DATE(2026,5,27),""))</f>
        <v/>
      </c>
      <c r="F7" s="5" t="inlineStr">
        <is>
          <t>—</t>
        </is>
      </c>
      <c r="G7" s="2" t="inlineStr">
        <is>
          <t>—</t>
        </is>
      </c>
      <c r="H7" s="2">
        <f>IFERROR(INDEX('iCoA Register'!$B:$B,MATCH("OPM1024|I",'iCoA Register'!$P:$P,0)),"—")</f>
        <v/>
      </c>
      <c r="I7" s="5">
        <f>IFERROR(INDEX('iCoA Register'!$D:$D,MATCH("OPM1024|I",'iCoA Register'!$P:$P,0)),"")</f>
        <v/>
      </c>
      <c r="J7" s="2" t="inlineStr">
        <is>
          <t>legacy</t>
        </is>
      </c>
      <c r="K7" s="2" t="inlineStr">
        <is>
          <t>initial release</t>
        </is>
      </c>
      <c r="L7" s="3" t="inlineStr">
        <is>
          <t>OPM1024</t>
        </is>
      </c>
      <c r="M7" s="2" t="inlineStr">
        <is>
          <t>N/A — no P batch assigned</t>
        </is>
      </c>
      <c r="N7" s="2" t="inlineStr">
        <is>
          <t>OrangePunchMimosa</t>
        </is>
      </c>
      <c r="O7" s="6" t="inlineStr">
        <is>
          <t>— no cannabinoid certificate from the initial testing —</t>
        </is>
      </c>
      <c r="P7" s="6" t="inlineStr">
        <is>
          <t>—</t>
        </is>
      </c>
      <c r="Q7" s="2" t="inlineStr">
        <is>
          <t>—</t>
        </is>
      </c>
      <c r="R7" s="2" t="inlineStr">
        <is>
          <t>CoQ-PP-2025-0005</t>
        </is>
      </c>
      <c r="S7" s="2" t="inlineStr">
        <is>
          <t>OPM1024|I</t>
        </is>
      </c>
      <c r="T7" s="7" t="inlineStr">
        <is>
          <t>registered — legacy series, issued 27.05.2026 · initial certificate to locate (CNP): #3, #4, #5, #6, #8, #9, #10, #11, #12</t>
        </is>
      </c>
    </row>
    <row r="8">
      <c r="A8" s="2">
        <f>IF(C8="yes",COUNT(A$1:A7)+1,"")</f>
        <v/>
      </c>
      <c r="B8" s="3">
        <f>IF(A8&lt;&gt;"","CoQ-PP_26-"&amp;TEXT(A8,"000"),"— at issue —")</f>
        <v/>
      </c>
      <c r="C8" s="4" t="inlineStr">
        <is>
          <t>yes</t>
        </is>
      </c>
      <c r="D8" s="5">
        <f>IF(A8="","",MAX(E8,IF(ISNUMBER(I8),I8,0),IFERROR(IF(ISNUMBER(INDEX('iCoA Register'!$F:$F,MATCH(S8,'iCoA Register'!$P:$P,0))),(INDEX('iCoA Register'!$F:$F,MATCH(S8,'iCoA Register'!$P:$P,0)))+CHOOSE(WEEKDAY(INDEX('iCoA Register'!$F:$F,MATCH(S8,'iCoA Register'!$P:$P,0)),2),0,0,0,0,0,2,1),0),0)))</f>
        <v/>
      </c>
      <c r="E8" s="5">
        <f>IF(ISNUMBER(F8),IF(AND(J8="legacy",F8&lt;=DATE(2026,5,27)),DATE(2026,5,27),MAX(DATE(2026,5,27),(F8+7)+CHOOSE(WEEKDAY(F8+7,2),0,0,0,0,0,2,1))),IF(J8="legacy",DATE(2026,5,27),""))</f>
        <v/>
      </c>
      <c r="F8" s="5" t="n">
        <v>45807</v>
      </c>
      <c r="G8" s="2" t="inlineStr">
        <is>
          <t>2471-2025</t>
        </is>
      </c>
      <c r="H8" s="2">
        <f>IFERROR(INDEX('iCoA Register'!$B:$B,MATCH("P050022|I",'iCoA Register'!$P:$P,0)),"—")</f>
        <v/>
      </c>
      <c r="I8" s="5">
        <f>IFERROR(INDEX('iCoA Register'!$D:$D,MATCH("P050022|I",'iCoA Register'!$P:$P,0)),"")</f>
        <v/>
      </c>
      <c r="J8" s="2" t="inlineStr">
        <is>
          <t>legacy</t>
        </is>
      </c>
      <c r="K8" s="2" t="inlineStr">
        <is>
          <t>initial release</t>
        </is>
      </c>
      <c r="L8" s="3" t="inlineStr">
        <is>
          <t>GP0824_02</t>
        </is>
      </c>
      <c r="M8" s="2" t="inlineStr">
        <is>
          <t>P050022</t>
        </is>
      </c>
      <c r="N8" s="2" t="inlineStr">
        <is>
          <t>Grape Pie</t>
        </is>
      </c>
      <c r="O8" s="2" t="inlineStr">
        <is>
          <t>ППК25139, (22.05.2025) [CNP]</t>
        </is>
      </c>
      <c r="P8" s="6" t="inlineStr">
        <is>
          <t>—</t>
        </is>
      </c>
      <c r="Q8" s="2" t="inlineStr">
        <is>
          <t>—</t>
        </is>
      </c>
      <c r="R8" s="2" t="inlineStr">
        <is>
          <t>CoQ-PP-2025-0006</t>
        </is>
      </c>
      <c r="S8" s="2" t="inlineStr">
        <is>
          <t>P050022|I</t>
        </is>
      </c>
      <c r="T8" s="7" t="inlineStr">
        <is>
          <t>registered — legacy series, issued 27.05.2026</t>
        </is>
      </c>
    </row>
    <row r="9">
      <c r="A9" s="2">
        <f>IF(C9="yes",COUNT(A$1:A8)+1,"")</f>
        <v/>
      </c>
      <c r="B9" s="3">
        <f>IF(A9&lt;&gt;"","CoQ-PP_26-"&amp;TEXT(A9,"000"),"— at issue —")</f>
        <v/>
      </c>
      <c r="C9" s="4" t="inlineStr">
        <is>
          <t>yes</t>
        </is>
      </c>
      <c r="D9" s="5">
        <f>IF(A9="","",MAX(E9,IF(ISNUMBER(I9),I9,0),IFERROR(IF(ISNUMBER(INDEX('iCoA Register'!$F:$F,MATCH(S9,'iCoA Register'!$P:$P,0))),(INDEX('iCoA Register'!$F:$F,MATCH(S9,'iCoA Register'!$P:$P,0)))+CHOOSE(WEEKDAY(INDEX('iCoA Register'!$F:$F,MATCH(S9,'iCoA Register'!$P:$P,0)),2),0,0,0,0,0,2,1),0),0)))</f>
        <v/>
      </c>
      <c r="E9" s="5">
        <f>IF(ISNUMBER(F9),IF(AND(J9="legacy",F9&lt;=DATE(2026,5,27)),DATE(2026,5,27),MAX(DATE(2026,5,27),(F9+7)+CHOOSE(WEEKDAY(F9+7,2),0,0,0,0,0,2,1))),IF(J9="legacy",DATE(2026,5,27),""))</f>
        <v/>
      </c>
      <c r="F9" s="5" t="n">
        <v>45807</v>
      </c>
      <c r="G9" s="2" t="inlineStr">
        <is>
          <t>2472-2025</t>
        </is>
      </c>
      <c r="H9" s="2">
        <f>IFERROR(INDEX('iCoA Register'!$B:$B,MATCH("P050012|I",'iCoA Register'!$P:$P,0)),"—")</f>
        <v/>
      </c>
      <c r="I9" s="5">
        <f>IFERROR(INDEX('iCoA Register'!$D:$D,MATCH("P050012|I",'iCoA Register'!$P:$P,0)),"")</f>
        <v/>
      </c>
      <c r="J9" s="2" t="inlineStr">
        <is>
          <t>legacy</t>
        </is>
      </c>
      <c r="K9" s="2" t="inlineStr">
        <is>
          <t>initial release</t>
        </is>
      </c>
      <c r="L9" s="3" t="inlineStr">
        <is>
          <t>GG1024_02</t>
        </is>
      </c>
      <c r="M9" s="2" t="inlineStr">
        <is>
          <t>P050012</t>
        </is>
      </c>
      <c r="N9" s="2" t="inlineStr">
        <is>
          <t>Gorilla Glue</t>
        </is>
      </c>
      <c r="O9" s="2" t="inlineStr">
        <is>
          <t>ППК25140, (22.05.2025) [CNP]</t>
        </is>
      </c>
      <c r="P9" s="6" t="inlineStr">
        <is>
          <t>—</t>
        </is>
      </c>
      <c r="Q9" s="2" t="inlineStr">
        <is>
          <t>—</t>
        </is>
      </c>
      <c r="R9" s="2" t="inlineStr">
        <is>
          <t>(assigned on issue)</t>
        </is>
      </c>
      <c r="S9" s="2" t="inlineStr">
        <is>
          <t>P050012|I</t>
        </is>
      </c>
      <c r="T9" s="7" t="inlineStr">
        <is>
          <t>registered — legacy series, issued 27.05.2026</t>
        </is>
      </c>
    </row>
    <row r="10">
      <c r="A10" s="2">
        <f>IF(C10="yes",COUNT(A$1:A9)+1,"")</f>
        <v/>
      </c>
      <c r="B10" s="3">
        <f>IF(A10&lt;&gt;"","CoQ-PP_26-"&amp;TEXT(A10,"000"),"— at issue —")</f>
        <v/>
      </c>
      <c r="C10" s="4" t="inlineStr">
        <is>
          <t>yes</t>
        </is>
      </c>
      <c r="D10" s="5">
        <f>IF(A10="","",MAX(E10,IF(ISNUMBER(I10),I10,0),IFERROR(IF(ISNUMBER(INDEX('iCoA Register'!$F:$F,MATCH(S10,'iCoA Register'!$P:$P,0))),(INDEX('iCoA Register'!$F:$F,MATCH(S10,'iCoA Register'!$P:$P,0)))+CHOOSE(WEEKDAY(INDEX('iCoA Register'!$F:$F,MATCH(S10,'iCoA Register'!$P:$P,0)),2),0,0,0,0,0,2,1),0),0)))</f>
        <v/>
      </c>
      <c r="E10" s="5">
        <f>IF(ISNUMBER(F10),IF(AND(J10="legacy",F10&lt;=DATE(2026,5,27)),DATE(2026,5,27),MAX(DATE(2026,5,27),(F10+7)+CHOOSE(WEEKDAY(F10+7,2),0,0,0,0,0,2,1))),IF(J10="legacy",DATE(2026,5,27),""))</f>
        <v/>
      </c>
      <c r="F10" s="5" t="n">
        <v>45784</v>
      </c>
      <c r="G10" s="2" t="inlineStr">
        <is>
          <t>2157-2025</t>
        </is>
      </c>
      <c r="H10" s="2">
        <f>IFERROR(INDEX('iCoA Register'!$B:$B,MATCH("P050032|I",'iCoA Register'!$P:$P,0)),"—")</f>
        <v/>
      </c>
      <c r="I10" s="5">
        <f>IFERROR(INDEX('iCoA Register'!$D:$D,MATCH("P050032|I",'iCoA Register'!$P:$P,0)),"")</f>
        <v/>
      </c>
      <c r="J10" s="2" t="inlineStr">
        <is>
          <t>legacy</t>
        </is>
      </c>
      <c r="K10" s="2" t="inlineStr">
        <is>
          <t>initial release</t>
        </is>
      </c>
      <c r="L10" s="3" t="inlineStr">
        <is>
          <t>MB0824_04</t>
        </is>
      </c>
      <c r="M10" s="2" t="inlineStr">
        <is>
          <t>P050032</t>
        </is>
      </c>
      <c r="N10" s="2" t="inlineStr">
        <is>
          <t>Motor Breath</t>
        </is>
      </c>
      <c r="O10" s="2" t="inlineStr">
        <is>
          <t>ППК25118, (06.05.2025) [CNP]</t>
        </is>
      </c>
      <c r="P10" s="6" t="inlineStr">
        <is>
          <t>—</t>
        </is>
      </c>
      <c r="Q10" s="2" t="inlineStr">
        <is>
          <t>—</t>
        </is>
      </c>
      <c r="R10" s="2" t="inlineStr">
        <is>
          <t>(assigned on issue)</t>
        </is>
      </c>
      <c r="S10" s="2" t="inlineStr">
        <is>
          <t>P050032|I</t>
        </is>
      </c>
      <c r="T10" s="7" t="inlineStr">
        <is>
          <t>registered — legacy series, issued 27.05.2026</t>
        </is>
      </c>
    </row>
    <row r="11">
      <c r="A11" s="2">
        <f>IF(C11="yes",COUNT(A$1:A10)+1,"")</f>
        <v/>
      </c>
      <c r="B11" s="3">
        <f>IF(A11&lt;&gt;"","CoQ-PP_26-"&amp;TEXT(A11,"000"),"— at issue —")</f>
        <v/>
      </c>
      <c r="C11" s="4" t="inlineStr">
        <is>
          <t>yes</t>
        </is>
      </c>
      <c r="D11" s="5">
        <f>IF(A11="","",MAX(E11,IF(ISNUMBER(I11),I11,0),IFERROR(IF(ISNUMBER(INDEX('iCoA Register'!$F:$F,MATCH(S11,'iCoA Register'!$P:$P,0))),(INDEX('iCoA Register'!$F:$F,MATCH(S11,'iCoA Register'!$P:$P,0)))+CHOOSE(WEEKDAY(INDEX('iCoA Register'!$F:$F,MATCH(S11,'iCoA Register'!$P:$P,0)),2),0,0,0,0,0,2,1),0),0)))</f>
        <v/>
      </c>
      <c r="E11" s="5">
        <f>IF(ISNUMBER(F11),IF(AND(J11="legacy",F11&lt;=DATE(2026,5,27)),DATE(2026,5,27),MAX(DATE(2026,5,27),(F11+7)+CHOOSE(WEEKDAY(F11+7,2),0,0,0,0,0,2,1))),IF(J11="legacy",DATE(2026,5,27),""))</f>
        <v/>
      </c>
      <c r="F11" s="5" t="n">
        <v>45784</v>
      </c>
      <c r="G11" s="2" t="inlineStr">
        <is>
          <t>2156-2025</t>
        </is>
      </c>
      <c r="H11" s="2">
        <f>IFERROR(INDEX('iCoA Register'!$B:$B,MATCH("P050042|I",'iCoA Register'!$P:$P,0)),"—")</f>
        <v/>
      </c>
      <c r="I11" s="5">
        <f>IFERROR(INDEX('iCoA Register'!$D:$D,MATCH("P050042|I",'iCoA Register'!$P:$P,0)),"")</f>
        <v/>
      </c>
      <c r="J11" s="2" t="inlineStr">
        <is>
          <t>legacy</t>
        </is>
      </c>
      <c r="K11" s="2" t="inlineStr">
        <is>
          <t>initial release</t>
        </is>
      </c>
      <c r="L11" s="3" t="inlineStr">
        <is>
          <t>OMP1024_01</t>
        </is>
      </c>
      <c r="M11" s="2" t="inlineStr">
        <is>
          <t>P050042</t>
        </is>
      </c>
      <c r="N11" s="2" t="inlineStr">
        <is>
          <t>Orange Punch Mimosa</t>
        </is>
      </c>
      <c r="O11" s="2" t="inlineStr">
        <is>
          <t>ППК25117, (06.05.2025) [CNP]</t>
        </is>
      </c>
      <c r="P11" s="6" t="inlineStr">
        <is>
          <t>—</t>
        </is>
      </c>
      <c r="Q11" s="2" t="inlineStr">
        <is>
          <t>—</t>
        </is>
      </c>
      <c r="R11" s="2" t="inlineStr">
        <is>
          <t>CoQ-PP-2025-0007</t>
        </is>
      </c>
      <c r="S11" s="2" t="inlineStr">
        <is>
          <t>P050042|I</t>
        </is>
      </c>
      <c r="T11" s="7" t="inlineStr">
        <is>
          <t>registered — legacy series, issued 27.05.2026</t>
        </is>
      </c>
    </row>
    <row r="12">
      <c r="A12" s="2">
        <f>IF(C12="yes",COUNT(A$1:A11)+1,"")</f>
        <v/>
      </c>
      <c r="B12" s="3">
        <f>IF(A12&lt;&gt;"","CoQ-PP_26-"&amp;TEXT(A12,"000"),"— at issue —")</f>
        <v/>
      </c>
      <c r="C12" s="4" t="inlineStr">
        <is>
          <t>yes</t>
        </is>
      </c>
      <c r="D12" s="5">
        <f>IF(A12="","",MAX(E12,IF(ISNUMBER(I12),I12,0),IFERROR(IF(ISNUMBER(INDEX('iCoA Register'!$F:$F,MATCH(S12,'iCoA Register'!$P:$P,0))),(INDEX('iCoA Register'!$F:$F,MATCH(S12,'iCoA Register'!$P:$P,0)))+CHOOSE(WEEKDAY(INDEX('iCoA Register'!$F:$F,MATCH(S12,'iCoA Register'!$P:$P,0)),2),0,0,0,0,0,2,1),0),0)))</f>
        <v/>
      </c>
      <c r="E12" s="5">
        <f>IF(ISNUMBER(F12),IF(AND(J12="legacy",F12&lt;=DATE(2026,5,27)),DATE(2026,5,27),MAX(DATE(2026,5,27),(F12+7)+CHOOSE(WEEKDAY(F12+7,2),0,0,0,0,0,2,1))),IF(J12="legacy",DATE(2026,5,27),""))</f>
        <v/>
      </c>
      <c r="F12" s="5" t="n">
        <v>45832</v>
      </c>
      <c r="G12" s="2" t="inlineStr">
        <is>
          <t>ППК25155</t>
        </is>
      </c>
      <c r="H12" s="2">
        <f>IFERROR(INDEX('iCoA Register'!$B:$B,MATCH("P050052|I",'iCoA Register'!$P:$P,0)),"—")</f>
        <v/>
      </c>
      <c r="I12" s="5">
        <f>IFERROR(INDEX('iCoA Register'!$D:$D,MATCH("P050052|I",'iCoA Register'!$P:$P,0)),"")</f>
        <v/>
      </c>
      <c r="J12" s="2" t="inlineStr">
        <is>
          <t>legacy</t>
        </is>
      </c>
      <c r="K12" s="2" t="inlineStr">
        <is>
          <t>initial release</t>
        </is>
      </c>
      <c r="L12" s="3" t="inlineStr">
        <is>
          <t>HPA1024_01</t>
        </is>
      </c>
      <c r="M12" s="2" t="inlineStr">
        <is>
          <t>P050052</t>
        </is>
      </c>
      <c r="N12" s="2" t="inlineStr">
        <is>
          <t>High Pro Amnesia</t>
        </is>
      </c>
      <c r="O12" s="2" t="inlineStr">
        <is>
          <t>ППК25155, (24.06.2025) [CNP]</t>
        </is>
      </c>
      <c r="P12" s="6" t="inlineStr">
        <is>
          <t>—</t>
        </is>
      </c>
      <c r="Q12" s="2" t="inlineStr">
        <is>
          <t>—</t>
        </is>
      </c>
      <c r="R12" s="2" t="inlineStr">
        <is>
          <t>CoQ-PP-2025-0008</t>
        </is>
      </c>
      <c r="S12" s="2" t="inlineStr">
        <is>
          <t>P050052|I</t>
        </is>
      </c>
      <c r="T12" s="7" t="inlineStr">
        <is>
          <t>registered — legacy series, issued 27.05.2026</t>
        </is>
      </c>
    </row>
    <row r="13">
      <c r="A13" s="2">
        <f>IF(C13="yes",COUNT(A$1:A12)+1,"")</f>
        <v/>
      </c>
      <c r="B13" s="3">
        <f>IF(A13&lt;&gt;"","CoQ-PP_26-"&amp;TEXT(A13,"000"),"— at issue —")</f>
        <v/>
      </c>
      <c r="C13" s="4" t="inlineStr">
        <is>
          <t>yes</t>
        </is>
      </c>
      <c r="D13" s="5">
        <f>IF(A13="","",MAX(E13,IF(ISNUMBER(I13),I13,0),IFERROR(IF(ISNUMBER(INDEX('iCoA Register'!$F:$F,MATCH(S13,'iCoA Register'!$P:$P,0))),(INDEX('iCoA Register'!$F:$F,MATCH(S13,'iCoA Register'!$P:$P,0)))+CHOOSE(WEEKDAY(INDEX('iCoA Register'!$F:$F,MATCH(S13,'iCoA Register'!$P:$P,0)),2),0,0,0,0,0,2,1),0),0)))</f>
        <v/>
      </c>
      <c r="E13" s="5">
        <f>IF(ISNUMBER(F13),IF(AND(J13="legacy",F13&lt;=DATE(2026,5,27)),DATE(2026,5,27),MAX(DATE(2026,5,27),(F13+7)+CHOOSE(WEEKDAY(F13+7,2),0,0,0,0,0,2,1))),IF(J13="legacy",DATE(2026,5,27),""))</f>
        <v/>
      </c>
      <c r="F13" s="5" t="n">
        <v>45832</v>
      </c>
      <c r="G13" s="2" t="inlineStr">
        <is>
          <t>ППК25154</t>
        </is>
      </c>
      <c r="H13" s="2">
        <f>IFERROR(INDEX('iCoA Register'!$B:$B,MATCH("P050062|I",'iCoA Register'!$P:$P,0)),"—")</f>
        <v/>
      </c>
      <c r="I13" s="5">
        <f>IFERROR(INDEX('iCoA Register'!$D:$D,MATCH("P050062|I",'iCoA Register'!$P:$P,0)),"")</f>
        <v/>
      </c>
      <c r="J13" s="2" t="inlineStr">
        <is>
          <t>legacy</t>
        </is>
      </c>
      <c r="K13" s="2" t="inlineStr">
        <is>
          <t>initial release</t>
        </is>
      </c>
      <c r="L13" s="3" t="inlineStr">
        <is>
          <t>OPM1024_02</t>
        </is>
      </c>
      <c r="M13" s="2" t="inlineStr">
        <is>
          <t>P050062</t>
        </is>
      </c>
      <c r="N13" s="2" t="inlineStr">
        <is>
          <t>Orange Punch Mimosa</t>
        </is>
      </c>
      <c r="O13" s="2" t="inlineStr">
        <is>
          <t>ППК25154, (24.06.2025) [CNP]</t>
        </is>
      </c>
      <c r="P13" s="6" t="inlineStr">
        <is>
          <t>—</t>
        </is>
      </c>
      <c r="Q13" s="2" t="inlineStr">
        <is>
          <t>—</t>
        </is>
      </c>
      <c r="R13" s="2" t="inlineStr">
        <is>
          <t>CoQ-PP-2025-0009</t>
        </is>
      </c>
      <c r="S13" s="2" t="inlineStr">
        <is>
          <t>P050062|I</t>
        </is>
      </c>
      <c r="T13" s="7" t="inlineStr">
        <is>
          <t>registered — legacy series, issued 27.05.2026</t>
        </is>
      </c>
    </row>
    <row r="14">
      <c r="A14" s="2">
        <f>IF(C14="yes",COUNT(A$1:A13)+1,"")</f>
        <v/>
      </c>
      <c r="B14" s="3">
        <f>IF(A14&lt;&gt;"","CoQ-PP_26-"&amp;TEXT(A14,"000"),"— at issue —")</f>
        <v/>
      </c>
      <c r="C14" s="4" t="inlineStr">
        <is>
          <t>yes</t>
        </is>
      </c>
      <c r="D14" s="5">
        <f>IF(A14="","",MAX(E14,IF(ISNUMBER(I14),I14,0),IFERROR(IF(ISNUMBER(INDEX('iCoA Register'!$F:$F,MATCH(S14,'iCoA Register'!$P:$P,0))),(INDEX('iCoA Register'!$F:$F,MATCH(S14,'iCoA Register'!$P:$P,0)))+CHOOSE(WEEKDAY(INDEX('iCoA Register'!$F:$F,MATCH(S14,'iCoA Register'!$P:$P,0)),2),0,0,0,0,0,2,1),0),0)))</f>
        <v/>
      </c>
      <c r="E14" s="5">
        <f>IF(ISNUMBER(F14),IF(AND(J14="legacy",F14&lt;=DATE(2026,5,27)),DATE(2026,5,27),MAX(DATE(2026,5,27),(F14+7)+CHOOSE(WEEKDAY(F14+7,2),0,0,0,0,0,2,1))),IF(J14="legacy",DATE(2026,5,27),""))</f>
        <v/>
      </c>
      <c r="F14" s="5" t="n">
        <v>45848</v>
      </c>
      <c r="G14" s="2" t="inlineStr">
        <is>
          <t>ППК25175</t>
        </is>
      </c>
      <c r="H14" s="2">
        <f>IFERROR(INDEX('iCoA Register'!$B:$B,MATCH("P050072|I",'iCoA Register'!$P:$P,0)),"—")</f>
        <v/>
      </c>
      <c r="I14" s="5">
        <f>IFERROR(INDEX('iCoA Register'!$D:$D,MATCH("P050072|I",'iCoA Register'!$P:$P,0)),"")</f>
        <v/>
      </c>
      <c r="J14" s="2" t="inlineStr">
        <is>
          <t>legacy</t>
        </is>
      </c>
      <c r="K14" s="2" t="inlineStr">
        <is>
          <t>initial release</t>
        </is>
      </c>
      <c r="L14" s="3" t="inlineStr">
        <is>
          <t>GP0824_03</t>
        </is>
      </c>
      <c r="M14" s="2" t="inlineStr">
        <is>
          <t>P050072</t>
        </is>
      </c>
      <c r="N14" s="2" t="inlineStr">
        <is>
          <t>Grape Pie</t>
        </is>
      </c>
      <c r="O14" s="2" t="inlineStr">
        <is>
          <t>ППК25175, (10.07.2025) [CNP]</t>
        </is>
      </c>
      <c r="P14" s="6" t="inlineStr">
        <is>
          <t>—</t>
        </is>
      </c>
      <c r="Q14" s="2" t="inlineStr">
        <is>
          <t>—</t>
        </is>
      </c>
      <c r="R14" s="2" t="inlineStr">
        <is>
          <t>CoQ-PP-2025-0010</t>
        </is>
      </c>
      <c r="S14" s="2" t="inlineStr">
        <is>
          <t>P050072|I</t>
        </is>
      </c>
      <c r="T14" s="7" t="inlineStr">
        <is>
          <t>registered — legacy series, issued 27.05.2026</t>
        </is>
      </c>
    </row>
    <row r="15">
      <c r="A15" s="2">
        <f>IF(C15="yes",COUNT(A$1:A14)+1,"")</f>
        <v/>
      </c>
      <c r="B15" s="3">
        <f>IF(A15&lt;&gt;"","CoQ-PP_26-"&amp;TEXT(A15,"000"),"— at issue —")</f>
        <v/>
      </c>
      <c r="C15" s="4" t="inlineStr">
        <is>
          <t>yes</t>
        </is>
      </c>
      <c r="D15" s="5">
        <f>IF(A15="","",MAX(E15,IF(ISNUMBER(I15),I15,0),IFERROR(IF(ISNUMBER(INDEX('iCoA Register'!$F:$F,MATCH(S15,'iCoA Register'!$P:$P,0))),(INDEX('iCoA Register'!$F:$F,MATCH(S15,'iCoA Register'!$P:$P,0)))+CHOOSE(WEEKDAY(INDEX('iCoA Register'!$F:$F,MATCH(S15,'iCoA Register'!$P:$P,0)),2),0,0,0,0,0,2,1),0),0)))</f>
        <v/>
      </c>
      <c r="E15" s="5">
        <f>IF(ISNUMBER(F15),IF(AND(J15="legacy",F15&lt;=DATE(2026,5,27)),DATE(2026,5,27),MAX(DATE(2026,5,27),(F15+7)+CHOOSE(WEEKDAY(F15+7,2),0,0,0,0,0,2,1))),IF(J15="legacy",DATE(2026,5,27),""))</f>
        <v/>
      </c>
      <c r="F15" s="5" t="n">
        <v>45867</v>
      </c>
      <c r="G15" s="2" t="inlineStr">
        <is>
          <t>766-1375-25</t>
        </is>
      </c>
      <c r="H15" s="2">
        <f>IFERROR(INDEX('iCoA Register'!$B:$B,MATCH("P050082|I",'iCoA Register'!$P:$P,0)),"—")</f>
        <v/>
      </c>
      <c r="I15" s="5">
        <f>IFERROR(INDEX('iCoA Register'!$D:$D,MATCH("P050082|I",'iCoA Register'!$P:$P,0)),"")</f>
        <v/>
      </c>
      <c r="J15" s="2" t="inlineStr">
        <is>
          <t>legacy</t>
        </is>
      </c>
      <c r="K15" s="2" t="inlineStr">
        <is>
          <t>initial release</t>
        </is>
      </c>
      <c r="L15" s="3" t="inlineStr">
        <is>
          <t>OPM1024_03</t>
        </is>
      </c>
      <c r="M15" s="2" t="inlineStr">
        <is>
          <t>P050082</t>
        </is>
      </c>
      <c r="N15" s="2" t="inlineStr">
        <is>
          <t>Orange Punch Mimosa</t>
        </is>
      </c>
      <c r="O15" s="2" t="inlineStr">
        <is>
          <t>ППК25210, (28.07.2025) [CNP]</t>
        </is>
      </c>
      <c r="P15" s="6" t="inlineStr">
        <is>
          <t>—</t>
        </is>
      </c>
      <c r="Q15" s="2" t="inlineStr">
        <is>
          <t>—</t>
        </is>
      </c>
      <c r="R15" s="2" t="inlineStr">
        <is>
          <t>CoQ-PP-2025-0011</t>
        </is>
      </c>
      <c r="S15" s="2" t="inlineStr">
        <is>
          <t>P050082|I</t>
        </is>
      </c>
      <c r="T15" s="7" t="inlineStr">
        <is>
          <t>registered — legacy series, issued 27.05.2026</t>
        </is>
      </c>
    </row>
    <row r="16">
      <c r="A16" s="2">
        <f>IF(C16="yes",COUNT(A$1:A15)+1,"")</f>
        <v/>
      </c>
      <c r="B16" s="3">
        <f>IF(A16&lt;&gt;"","CoQ-PP_26-"&amp;TEXT(A16,"000"),"— at issue —")</f>
        <v/>
      </c>
      <c r="C16" s="4" t="inlineStr">
        <is>
          <t>yes</t>
        </is>
      </c>
      <c r="D16" s="5">
        <f>IF(A16="","",MAX(E16,IF(ISNUMBER(I16),I16,0),IFERROR(IF(ISNUMBER(INDEX('iCoA Register'!$F:$F,MATCH(S16,'iCoA Register'!$P:$P,0))),(INDEX('iCoA Register'!$F:$F,MATCH(S16,'iCoA Register'!$P:$P,0)))+CHOOSE(WEEKDAY(INDEX('iCoA Register'!$F:$F,MATCH(S16,'iCoA Register'!$P:$P,0)),2),0,0,0,0,0,2,1),0),0)))</f>
        <v/>
      </c>
      <c r="E16" s="5">
        <f>IF(ISNUMBER(F16),IF(AND(J16="legacy",F16&lt;=DATE(2026,5,27)),DATE(2026,5,27),MAX(DATE(2026,5,27),(F16+7)+CHOOSE(WEEKDAY(F16+7,2),0,0,0,0,0,2,1))),IF(J16="legacy",DATE(2026,5,27),""))</f>
        <v/>
      </c>
      <c r="F16" s="5" t="n">
        <v>45764</v>
      </c>
      <c r="G16" s="2" t="inlineStr">
        <is>
          <t>ППК25104</t>
        </is>
      </c>
      <c r="H16" s="2">
        <f>IFERROR(INDEX('iCoA Register'!$B:$B,MATCH("P050092|I",'iCoA Register'!$P:$P,0)),"—")</f>
        <v/>
      </c>
      <c r="I16" s="5">
        <f>IFERROR(INDEX('iCoA Register'!$D:$D,MATCH("P050092|I",'iCoA Register'!$P:$P,0)),"")</f>
        <v/>
      </c>
      <c r="J16" s="2" t="inlineStr">
        <is>
          <t>legacy</t>
        </is>
      </c>
      <c r="K16" s="2" t="inlineStr">
        <is>
          <t>initial release</t>
        </is>
      </c>
      <c r="L16" s="3" t="inlineStr">
        <is>
          <t>GG1024_01</t>
        </is>
      </c>
      <c r="M16" s="2" t="inlineStr">
        <is>
          <t>P050092</t>
        </is>
      </c>
      <c r="N16" s="2" t="inlineStr">
        <is>
          <t>Gorilla Glue</t>
        </is>
      </c>
      <c r="O16" s="2" t="inlineStr">
        <is>
          <t>ППК25104, (17.04.2025) [CNP]</t>
        </is>
      </c>
      <c r="P16" s="6" t="inlineStr">
        <is>
          <t>—</t>
        </is>
      </c>
      <c r="Q16" s="2" t="inlineStr">
        <is>
          <t>—</t>
        </is>
      </c>
      <c r="R16" s="2" t="inlineStr">
        <is>
          <t>CoQ-PP-2025-0012</t>
        </is>
      </c>
      <c r="S16" s="2" t="inlineStr">
        <is>
          <t>P050092|I</t>
        </is>
      </c>
      <c r="T16" s="7" t="inlineStr">
        <is>
          <t>registered — legacy series, issued 27.05.2026</t>
        </is>
      </c>
    </row>
    <row r="17">
      <c r="A17" s="2">
        <f>IF(C17="yes",COUNT(A$1:A16)+1,"")</f>
        <v/>
      </c>
      <c r="B17" s="3">
        <f>IF(A17&lt;&gt;"","CoQ-PP_26-"&amp;TEXT(A17,"000"),"— at issue —")</f>
        <v/>
      </c>
      <c r="C17" s="4" t="inlineStr">
        <is>
          <t>yes</t>
        </is>
      </c>
      <c r="D17" s="5">
        <f>IF(A17="","",MAX(E17,IF(ISNUMBER(I17),I17,0),IFERROR(IF(ISNUMBER(INDEX('iCoA Register'!$F:$F,MATCH(S17,'iCoA Register'!$P:$P,0))),(INDEX('iCoA Register'!$F:$F,MATCH(S17,'iCoA Register'!$P:$P,0)))+CHOOSE(WEEKDAY(INDEX('iCoA Register'!$F:$F,MATCH(S17,'iCoA Register'!$P:$P,0)),2),0,0,0,0,0,2,1),0),0)))</f>
        <v/>
      </c>
      <c r="E17" s="5">
        <f>IF(ISNUMBER(F17),IF(AND(J17="legacy",F17&lt;=DATE(2026,5,27)),DATE(2026,5,27),MAX(DATE(2026,5,27),(F17+7)+CHOOSE(WEEKDAY(F17+7,2),0,0,0,0,0,2,1))),IF(J17="legacy",DATE(2026,5,27),""))</f>
        <v/>
      </c>
      <c r="F17" s="5" t="n">
        <v>45764</v>
      </c>
      <c r="G17" s="2" t="inlineStr">
        <is>
          <t>ППК25105</t>
        </is>
      </c>
      <c r="H17" s="2">
        <f>IFERROR(INDEX('iCoA Register'!$B:$B,MATCH("P050102|I",'iCoA Register'!$P:$P,0)),"—")</f>
        <v/>
      </c>
      <c r="I17" s="5">
        <f>IFERROR(INDEX('iCoA Register'!$D:$D,MATCH("P050102|I",'iCoA Register'!$P:$P,0)),"")</f>
        <v/>
      </c>
      <c r="J17" s="2" t="inlineStr">
        <is>
          <t>legacy</t>
        </is>
      </c>
      <c r="K17" s="2" t="inlineStr">
        <is>
          <t>initial release</t>
        </is>
      </c>
      <c r="L17" s="3" t="inlineStr">
        <is>
          <t>GP0824_01</t>
        </is>
      </c>
      <c r="M17" s="2" t="inlineStr">
        <is>
          <t>P050102</t>
        </is>
      </c>
      <c r="N17" s="2" t="inlineStr">
        <is>
          <t>Grape Pie</t>
        </is>
      </c>
      <c r="O17" s="2" t="inlineStr">
        <is>
          <t>ППК25105, (17.04.2025) [CNP]</t>
        </is>
      </c>
      <c r="P17" s="6" t="inlineStr">
        <is>
          <t>—</t>
        </is>
      </c>
      <c r="Q17" s="2" t="inlineStr">
        <is>
          <t>—</t>
        </is>
      </c>
      <c r="R17" s="2" t="inlineStr">
        <is>
          <t>(assigned on issue)</t>
        </is>
      </c>
      <c r="S17" s="2" t="inlineStr">
        <is>
          <t>P050102|I</t>
        </is>
      </c>
      <c r="T17" s="7" t="inlineStr">
        <is>
          <t>registered — legacy series, issued 27.05.2026</t>
        </is>
      </c>
    </row>
    <row r="18">
      <c r="A18" s="2">
        <f>IF(C18="yes",COUNT(A$1:A17)+1,"")</f>
        <v/>
      </c>
      <c r="B18" s="3">
        <f>IF(A18&lt;&gt;"","CoQ-PP_26-"&amp;TEXT(A18,"000"),"— at issue —")</f>
        <v/>
      </c>
      <c r="C18" s="4" t="inlineStr">
        <is>
          <t>yes</t>
        </is>
      </c>
      <c r="D18" s="5">
        <f>IF(A18="","",MAX(E18,IF(ISNUMBER(I18),I18,0),IFERROR(IF(ISNUMBER(INDEX('iCoA Register'!$F:$F,MATCH(S18,'iCoA Register'!$P:$P,0))),(INDEX('iCoA Register'!$F:$F,MATCH(S18,'iCoA Register'!$P:$P,0)))+CHOOSE(WEEKDAY(INDEX('iCoA Register'!$F:$F,MATCH(S18,'iCoA Register'!$P:$P,0)),2),0,0,0,0,0,2,1),0),0)))</f>
        <v/>
      </c>
      <c r="E18" s="5">
        <f>IF(ISNUMBER(F18),IF(AND(J18="legacy",F18&lt;=DATE(2026,5,27)),DATE(2026,5,27),MAX(DATE(2026,5,27),(F18+7)+CHOOSE(WEEKDAY(F18+7,2),0,0,0,0,0,2,1))),IF(J18="legacy",DATE(2026,5,27),""))</f>
        <v/>
      </c>
      <c r="F18" s="5" t="n">
        <v>45867</v>
      </c>
      <c r="G18" s="2" t="inlineStr">
        <is>
          <t>767-1376-25</t>
        </is>
      </c>
      <c r="H18" s="2">
        <f>IFERROR(INDEX('iCoA Register'!$B:$B,MATCH("P050112|I",'iCoA Register'!$P:$P,0)),"—")</f>
        <v/>
      </c>
      <c r="I18" s="5">
        <f>IFERROR(INDEX('iCoA Register'!$D:$D,MATCH("P050112|I",'iCoA Register'!$P:$P,0)),"")</f>
        <v/>
      </c>
      <c r="J18" s="2" t="inlineStr">
        <is>
          <t>legacy</t>
        </is>
      </c>
      <c r="K18" s="2" t="inlineStr">
        <is>
          <t>initial release</t>
        </is>
      </c>
      <c r="L18" s="3" t="inlineStr">
        <is>
          <t>MB0824_05</t>
        </is>
      </c>
      <c r="M18" s="2" t="inlineStr">
        <is>
          <t>P050112</t>
        </is>
      </c>
      <c r="N18" s="2" t="inlineStr">
        <is>
          <t>Motor Breath</t>
        </is>
      </c>
      <c r="O18" s="2" t="inlineStr">
        <is>
          <t>ППК25211, (28.07.2025) [CNP]</t>
        </is>
      </c>
      <c r="P18" s="6" t="inlineStr">
        <is>
          <t>—</t>
        </is>
      </c>
      <c r="Q18" s="2" t="inlineStr">
        <is>
          <t>—</t>
        </is>
      </c>
      <c r="R18" s="2" t="inlineStr">
        <is>
          <t>CoQ-PP-2025-0013</t>
        </is>
      </c>
      <c r="S18" s="2" t="inlineStr">
        <is>
          <t>P050112|I</t>
        </is>
      </c>
      <c r="T18" s="7" t="inlineStr">
        <is>
          <t>registered — legacy series, issued 27.05.2026</t>
        </is>
      </c>
    </row>
    <row r="19">
      <c r="A19" s="2">
        <f>IF(C19="yes",COUNT(A$1:A18)+1,"")</f>
        <v/>
      </c>
      <c r="B19" s="3">
        <f>IF(A19&lt;&gt;"","CoQ-PP_26-"&amp;TEXT(A19,"000"),"— at issue —")</f>
        <v/>
      </c>
      <c r="C19" s="4" t="inlineStr">
        <is>
          <t>yes</t>
        </is>
      </c>
      <c r="D19" s="5">
        <f>IF(A19="","",MAX(E19,IF(ISNUMBER(I19),I19,0),IFERROR(IF(ISNUMBER(INDEX('iCoA Register'!$F:$F,MATCH(S19,'iCoA Register'!$P:$P,0))),(INDEX('iCoA Register'!$F:$F,MATCH(S19,'iCoA Register'!$P:$P,0)))+CHOOSE(WEEKDAY(INDEX('iCoA Register'!$F:$F,MATCH(S19,'iCoA Register'!$P:$P,0)),2),0,0,0,0,0,2,1),0),0)))</f>
        <v/>
      </c>
      <c r="E19" s="5">
        <f>IF(ISNUMBER(F19),IF(AND(J19="legacy",F19&lt;=DATE(2026,5,27)),DATE(2026,5,27),MAX(DATE(2026,5,27),(F19+7)+CHOOSE(WEEKDAY(F19+7,2),0,0,0,0,0,2,1))),IF(J19="legacy",DATE(2026,5,27),""))</f>
        <v/>
      </c>
      <c r="F19" s="5" t="n">
        <v>45848</v>
      </c>
      <c r="G19" s="2" t="inlineStr">
        <is>
          <t>ППК25176</t>
        </is>
      </c>
      <c r="H19" s="2">
        <f>IFERROR(INDEX('iCoA Register'!$B:$B,MATCH("P050122|I",'iCoA Register'!$P:$P,0)),"—")</f>
        <v/>
      </c>
      <c r="I19" s="5">
        <f>IFERROR(INDEX('iCoA Register'!$D:$D,MATCH("P050122|I",'iCoA Register'!$P:$P,0)),"")</f>
        <v/>
      </c>
      <c r="J19" s="2" t="inlineStr">
        <is>
          <t>legacy</t>
        </is>
      </c>
      <c r="K19" s="2" t="inlineStr">
        <is>
          <t>initial release</t>
        </is>
      </c>
      <c r="L19" s="3" t="inlineStr">
        <is>
          <t>BSS1024_01/1</t>
        </is>
      </c>
      <c r="M19" s="2" t="inlineStr">
        <is>
          <t>P050122</t>
        </is>
      </c>
      <c r="N19" s="2" t="inlineStr">
        <is>
          <t>Blue Sunset Sherbet</t>
        </is>
      </c>
      <c r="O19" s="2" t="inlineStr">
        <is>
          <t>ППК25176, (10.07.2025) [CNP]</t>
        </is>
      </c>
      <c r="P19" s="6" t="inlineStr">
        <is>
          <t>—</t>
        </is>
      </c>
      <c r="Q19" s="2" t="inlineStr">
        <is>
          <t>—</t>
        </is>
      </c>
      <c r="R19" s="2" t="inlineStr">
        <is>
          <t>— not in the issuance plan —</t>
        </is>
      </c>
      <c r="S19" s="2" t="inlineStr">
        <is>
          <t>P050122|I</t>
        </is>
      </c>
      <c r="T19" s="7" t="inlineStr">
        <is>
          <t>registered — legacy series, issued 27.05.2026</t>
        </is>
      </c>
    </row>
    <row r="20">
      <c r="A20" s="2">
        <f>IF(C20="yes",COUNT(A$1:A19)+1,"")</f>
        <v/>
      </c>
      <c r="B20" s="3">
        <f>IF(A20&lt;&gt;"","CoQ-PP_26-"&amp;TEXT(A20,"000"),"— at issue —")</f>
        <v/>
      </c>
      <c r="C20" s="4" t="inlineStr">
        <is>
          <t>yes</t>
        </is>
      </c>
      <c r="D20" s="5">
        <f>IF(A20="","",MAX(E20,IF(ISNUMBER(I20),I20,0),IFERROR(IF(ISNUMBER(INDEX('iCoA Register'!$F:$F,MATCH(S20,'iCoA Register'!$P:$P,0))),(INDEX('iCoA Register'!$F:$F,MATCH(S20,'iCoA Register'!$P:$P,0)))+CHOOSE(WEEKDAY(INDEX('iCoA Register'!$F:$F,MATCH(S20,'iCoA Register'!$P:$P,0)),2),0,0,0,0,0,2,1),0),0)))</f>
        <v/>
      </c>
      <c r="E20" s="5">
        <f>IF(ISNUMBER(F20),IF(AND(J20="legacy",F20&lt;=DATE(2026,5,27)),DATE(2026,5,27),MAX(DATE(2026,5,27),(F20+7)+CHOOSE(WEEKDAY(F20+7,2),0,0,0,0,0,2,1))),IF(J20="legacy",DATE(2026,5,27),""))</f>
        <v/>
      </c>
      <c r="F20" s="5" t="n">
        <v>45905</v>
      </c>
      <c r="G20" s="2" t="inlineStr">
        <is>
          <t>ППК25257</t>
        </is>
      </c>
      <c r="H20" s="2">
        <f>IFERROR(INDEX('iCoA Register'!$B:$B,MATCH("P050132|I",'iCoA Register'!$P:$P,0)),"—")</f>
        <v/>
      </c>
      <c r="I20" s="5">
        <f>IFERROR(INDEX('iCoA Register'!$D:$D,MATCH("P050132|I",'iCoA Register'!$P:$P,0)),"")</f>
        <v/>
      </c>
      <c r="J20" s="2" t="inlineStr">
        <is>
          <t>legacy</t>
        </is>
      </c>
      <c r="K20" s="2" t="inlineStr">
        <is>
          <t>initial release</t>
        </is>
      </c>
      <c r="L20" s="3" t="inlineStr">
        <is>
          <t>OPM052501</t>
        </is>
      </c>
      <c r="M20" s="2" t="inlineStr">
        <is>
          <t>P050132</t>
        </is>
      </c>
      <c r="N20" s="2" t="inlineStr">
        <is>
          <t>Orange Punch Mimosa</t>
        </is>
      </c>
      <c r="O20" s="2" t="inlineStr">
        <is>
          <t>ППК25257, (05.09.2025) [CNP]</t>
        </is>
      </c>
      <c r="P20" s="6" t="inlineStr">
        <is>
          <t>—</t>
        </is>
      </c>
      <c r="Q20" s="2" t="inlineStr">
        <is>
          <t>—</t>
        </is>
      </c>
      <c r="R20" s="2" t="inlineStr">
        <is>
          <t>(assigned on issue)</t>
        </is>
      </c>
      <c r="S20" s="2" t="inlineStr">
        <is>
          <t>P050132|I</t>
        </is>
      </c>
      <c r="T20" s="7" t="inlineStr">
        <is>
          <t>registered — legacy series, issued 27.05.2026</t>
        </is>
      </c>
    </row>
    <row r="21">
      <c r="A21" s="2">
        <f>IF(C21="yes",COUNT(A$1:A20)+1,"")</f>
        <v/>
      </c>
      <c r="B21" s="3">
        <f>IF(A21&lt;&gt;"","CoQ-PP_26-"&amp;TEXT(A21,"000"),"— at issue —")</f>
        <v/>
      </c>
      <c r="C21" s="4" t="inlineStr">
        <is>
          <t>yes</t>
        </is>
      </c>
      <c r="D21" s="5">
        <f>IF(A21="","",MAX(E21,IF(ISNUMBER(I21),I21,0),IFERROR(IF(ISNUMBER(INDEX('iCoA Register'!$F:$F,MATCH(S21,'iCoA Register'!$P:$P,0))),(INDEX('iCoA Register'!$F:$F,MATCH(S21,'iCoA Register'!$P:$P,0)))+CHOOSE(WEEKDAY(INDEX('iCoA Register'!$F:$F,MATCH(S21,'iCoA Register'!$P:$P,0)),2),0,0,0,0,0,2,1),0),0)))</f>
        <v/>
      </c>
      <c r="E21" s="5">
        <f>IF(ISNUMBER(F21),IF(AND(J21="legacy",F21&lt;=DATE(2026,5,27)),DATE(2026,5,27),MAX(DATE(2026,5,27),(F21+7)+CHOOSE(WEEKDAY(F21+7,2),0,0,0,0,0,2,1))),IF(J21="legacy",DATE(2026,5,27),""))</f>
        <v/>
      </c>
      <c r="F21" s="5" t="n">
        <v>45919</v>
      </c>
      <c r="G21" s="2" t="inlineStr">
        <is>
          <t>ППК25279</t>
        </is>
      </c>
      <c r="H21" s="2">
        <f>IFERROR(INDEX('iCoA Register'!$B:$B,MATCH("P050152|I",'iCoA Register'!$P:$P,0)),"—")</f>
        <v/>
      </c>
      <c r="I21" s="5">
        <f>IFERROR(INDEX('iCoA Register'!$D:$D,MATCH("P050152|I",'iCoA Register'!$P:$P,0)),"")</f>
        <v/>
      </c>
      <c r="J21" s="2" t="inlineStr">
        <is>
          <t>legacy</t>
        </is>
      </c>
      <c r="K21" s="2" t="inlineStr">
        <is>
          <t>initial release</t>
        </is>
      </c>
      <c r="L21" s="3" t="inlineStr">
        <is>
          <t>GP052501</t>
        </is>
      </c>
      <c r="M21" s="2" t="inlineStr">
        <is>
          <t>P050152</t>
        </is>
      </c>
      <c r="N21" s="2" t="inlineStr">
        <is>
          <t>Grape Pie</t>
        </is>
      </c>
      <c r="O21" s="2" t="inlineStr">
        <is>
          <t>ППК25279, (19.09.2025) [CNP]</t>
        </is>
      </c>
      <c r="P21" s="6" t="inlineStr">
        <is>
          <t>—</t>
        </is>
      </c>
      <c r="Q21" s="2" t="inlineStr">
        <is>
          <t>—</t>
        </is>
      </c>
      <c r="R21" s="2" t="inlineStr">
        <is>
          <t>CoQ-PP-2025-0014</t>
        </is>
      </c>
      <c r="S21" s="2" t="inlineStr">
        <is>
          <t>P050152|I</t>
        </is>
      </c>
      <c r="T21" s="7" t="inlineStr">
        <is>
          <t>registered — legacy series, issued 27.05.2026</t>
        </is>
      </c>
    </row>
    <row r="22">
      <c r="A22" s="2">
        <f>IF(C22="yes",COUNT(A$1:A21)+1,"")</f>
        <v/>
      </c>
      <c r="B22" s="3">
        <f>IF(A22&lt;&gt;"","CoQ-PP_26-"&amp;TEXT(A22,"000"),"— at issue —")</f>
        <v/>
      </c>
      <c r="C22" s="4" t="inlineStr">
        <is>
          <t>yes</t>
        </is>
      </c>
      <c r="D22" s="5">
        <f>IF(A22="","",MAX(E22,IF(ISNUMBER(I22),I22,0),IFERROR(IF(ISNUMBER(INDEX('iCoA Register'!$F:$F,MATCH(S22,'iCoA Register'!$P:$P,0))),(INDEX('iCoA Register'!$F:$F,MATCH(S22,'iCoA Register'!$P:$P,0)))+CHOOSE(WEEKDAY(INDEX('iCoA Register'!$F:$F,MATCH(S22,'iCoA Register'!$P:$P,0)),2),0,0,0,0,0,2,1),0),0)))</f>
        <v/>
      </c>
      <c r="E22" s="5">
        <f>IF(ISNUMBER(F22),IF(AND(J22="legacy",F22&lt;=DATE(2026,5,27)),DATE(2026,5,27),MAX(DATE(2026,5,27),(F22+7)+CHOOSE(WEEKDAY(F22+7,2),0,0,0,0,0,2,1))),IF(J22="legacy",DATE(2026,5,27),""))</f>
        <v/>
      </c>
      <c r="F22" s="5" t="inlineStr">
        <is>
          <t>—</t>
        </is>
      </c>
      <c r="G22" s="2" t="inlineStr">
        <is>
          <t>—</t>
        </is>
      </c>
      <c r="H22" s="2">
        <f>IFERROR(INDEX('iCoA Register'!$B:$B,MATCH("P050142|I",'iCoA Register'!$P:$P,0)),"—")</f>
        <v/>
      </c>
      <c r="I22" s="5">
        <f>IFERROR(INDEX('iCoA Register'!$D:$D,MATCH("P050142|I",'iCoA Register'!$P:$P,0)),"")</f>
        <v/>
      </c>
      <c r="J22" s="2" t="inlineStr">
        <is>
          <t>legacy</t>
        </is>
      </c>
      <c r="K22" s="2" t="inlineStr">
        <is>
          <t>initial release</t>
        </is>
      </c>
      <c r="L22" s="3" t="inlineStr">
        <is>
          <t>BSS1024_01/2 (from the list)</t>
        </is>
      </c>
      <c r="M22" s="2" t="inlineStr">
        <is>
          <t>P050142</t>
        </is>
      </c>
      <c r="N22" s="2" t="inlineStr">
        <is>
          <t>Blue Sunset Sherbet</t>
        </is>
      </c>
      <c r="O22" s="6" t="inlineStr">
        <is>
          <t>— no cannabinoid certificate from the initial testing —</t>
        </is>
      </c>
      <c r="P22" s="6" t="inlineStr">
        <is>
          <t>—</t>
        </is>
      </c>
      <c r="Q22" s="2" t="inlineStr">
        <is>
          <t>—</t>
        </is>
      </c>
      <c r="R22" s="2" t="inlineStr">
        <is>
          <t>— not in the issuance plan —</t>
        </is>
      </c>
      <c r="S22" s="2" t="inlineStr">
        <is>
          <t>P050142|I</t>
        </is>
      </c>
      <c r="T22" s="7" t="inlineStr">
        <is>
          <t>registered — legacy series, issued 27.05.2026 · initial certificate to locate (CNP): #3, #4, #5, #6, #8, #9, #10, #11, #12</t>
        </is>
      </c>
    </row>
    <row r="23">
      <c r="A23" s="2">
        <f>IF(C23="yes",COUNT(A$1:A22)+1,"")</f>
        <v/>
      </c>
      <c r="B23" s="3">
        <f>IF(A23&lt;&gt;"","CoQ-PP_26-"&amp;TEXT(A23,"000"),"— at issue —")</f>
        <v/>
      </c>
      <c r="C23" s="4" t="inlineStr">
        <is>
          <t>yes</t>
        </is>
      </c>
      <c r="D23" s="5">
        <f>IF(A23="","",MAX(E23,IF(ISNUMBER(I23),I23,0),IFERROR(IF(ISNUMBER(INDEX('iCoA Register'!$F:$F,MATCH(S23,'iCoA Register'!$P:$P,0))),(INDEX('iCoA Register'!$F:$F,MATCH(S23,'iCoA Register'!$P:$P,0)))+CHOOSE(WEEKDAY(INDEX('iCoA Register'!$F:$F,MATCH(S23,'iCoA Register'!$P:$P,0)),2),0,0,0,0,0,2,1),0),0)))</f>
        <v/>
      </c>
      <c r="E23" s="5">
        <f>IF(ISNUMBER(F23),IF(AND(J23="legacy",F23&lt;=DATE(2026,5,27)),DATE(2026,5,27),MAX(DATE(2026,5,27),(F23+7)+CHOOSE(WEEKDAY(F23+7,2),0,0,0,0,0,2,1))),IF(J23="legacy",DATE(2026,5,27),""))</f>
        <v/>
      </c>
      <c r="F23" s="5" t="n">
        <v>45917</v>
      </c>
      <c r="G23" s="2" t="inlineStr">
        <is>
          <t>ППК25280</t>
        </is>
      </c>
      <c r="H23" s="2">
        <f>IFERROR(INDEX('iCoA Register'!$B:$B,MATCH("P050162|I",'iCoA Register'!$P:$P,0)),"—")</f>
        <v/>
      </c>
      <c r="I23" s="5">
        <f>IFERROR(INDEX('iCoA Register'!$D:$D,MATCH("P050162|I",'iCoA Register'!$P:$P,0)),"")</f>
        <v/>
      </c>
      <c r="J23" s="2" t="inlineStr">
        <is>
          <t>legacy</t>
        </is>
      </c>
      <c r="K23" s="2" t="inlineStr">
        <is>
          <t>initial release</t>
        </is>
      </c>
      <c r="L23" s="3" t="inlineStr">
        <is>
          <t>CJ052501/01</t>
        </is>
      </c>
      <c r="M23" s="2" t="inlineStr">
        <is>
          <t>P050162</t>
        </is>
      </c>
      <c r="N23" s="2" t="inlineStr">
        <is>
          <t>Cup Junky</t>
        </is>
      </c>
      <c r="O23" s="2" t="inlineStr">
        <is>
          <t>ППК25280, (17.09.2025) [CNP]</t>
        </is>
      </c>
      <c r="P23" s="6" t="inlineStr">
        <is>
          <t>—</t>
        </is>
      </c>
      <c r="Q23" s="2" t="inlineStr">
        <is>
          <t>—</t>
        </is>
      </c>
      <c r="R23" s="2" t="inlineStr">
        <is>
          <t>CoQ-PP-2025-0015</t>
        </is>
      </c>
      <c r="S23" s="2" t="inlineStr">
        <is>
          <t>P050162|I</t>
        </is>
      </c>
      <c r="T23" s="7" t="inlineStr">
        <is>
          <t>registered — legacy series, issued 27.05.2026</t>
        </is>
      </c>
    </row>
    <row r="24">
      <c r="A24" s="2">
        <f>IF(C24="yes",COUNT(A$1:A23)+1,"")</f>
        <v/>
      </c>
      <c r="B24" s="3">
        <f>IF(A24&lt;&gt;"","CoQ-PP_26-"&amp;TEXT(A24,"000"),"— at issue —")</f>
        <v/>
      </c>
      <c r="C24" s="4" t="inlineStr">
        <is>
          <t>yes</t>
        </is>
      </c>
      <c r="D24" s="5">
        <f>IF(A24="","",MAX(E24,IF(ISNUMBER(I24),I24,0),IFERROR(IF(ISNUMBER(INDEX('iCoA Register'!$F:$F,MATCH(S24,'iCoA Register'!$P:$P,0))),(INDEX('iCoA Register'!$F:$F,MATCH(S24,'iCoA Register'!$P:$P,0)))+CHOOSE(WEEKDAY(INDEX('iCoA Register'!$F:$F,MATCH(S24,'iCoA Register'!$P:$P,0)),2),0,0,0,0,0,2,1),0),0)))</f>
        <v/>
      </c>
      <c r="E24" s="5">
        <f>IF(ISNUMBER(F24),IF(AND(J24="legacy",F24&lt;=DATE(2026,5,27)),DATE(2026,5,27),MAX(DATE(2026,5,27),(F24+7)+CHOOSE(WEEKDAY(F24+7,2),0,0,0,0,0,2,1))),IF(J24="legacy",DATE(2026,5,27),""))</f>
        <v/>
      </c>
      <c r="F24" s="5" t="n">
        <v>45917</v>
      </c>
      <c r="G24" s="2" t="inlineStr">
        <is>
          <t>ППК25281</t>
        </is>
      </c>
      <c r="H24" s="2">
        <f>IFERROR(INDEX('iCoA Register'!$B:$B,MATCH("P050172|I",'iCoA Register'!$P:$P,0)),"—")</f>
        <v/>
      </c>
      <c r="I24" s="5">
        <f>IFERROR(INDEX('iCoA Register'!$D:$D,MATCH("P050172|I",'iCoA Register'!$P:$P,0)),"")</f>
        <v/>
      </c>
      <c r="J24" s="2" t="inlineStr">
        <is>
          <t>legacy</t>
        </is>
      </c>
      <c r="K24" s="2" t="inlineStr">
        <is>
          <t>initial release</t>
        </is>
      </c>
      <c r="L24" s="3" t="inlineStr">
        <is>
          <t>CJ052501/02</t>
        </is>
      </c>
      <c r="M24" s="2" t="inlineStr">
        <is>
          <t>P050172</t>
        </is>
      </c>
      <c r="N24" s="2" t="inlineStr">
        <is>
          <t>Cap Junky</t>
        </is>
      </c>
      <c r="O24" s="2" t="inlineStr">
        <is>
          <t>ППК25281, (17.09.2025) [CNP]</t>
        </is>
      </c>
      <c r="P24" s="6" t="inlineStr">
        <is>
          <t>—</t>
        </is>
      </c>
      <c r="Q24" s="2" t="inlineStr">
        <is>
          <t>—</t>
        </is>
      </c>
      <c r="R24" s="2" t="inlineStr">
        <is>
          <t>(assigned on issue)</t>
        </is>
      </c>
      <c r="S24" s="2" t="inlineStr">
        <is>
          <t>P050172|I</t>
        </is>
      </c>
      <c r="T24" s="7" t="inlineStr">
        <is>
          <t>registered — legacy series, issued 27.05.2026</t>
        </is>
      </c>
    </row>
    <row r="25">
      <c r="A25" s="2">
        <f>IF(C25="yes",COUNT(A$1:A24)+1,"")</f>
        <v/>
      </c>
      <c r="B25" s="3">
        <f>IF(A25&lt;&gt;"","CoQ-PP_26-"&amp;TEXT(A25,"000"),"— at issue —")</f>
        <v/>
      </c>
      <c r="C25" s="4" t="inlineStr">
        <is>
          <t>yes</t>
        </is>
      </c>
      <c r="D25" s="5">
        <f>IF(A25="","",MAX(E25,IF(ISNUMBER(I25),I25,0),IFERROR(IF(ISNUMBER(INDEX('iCoA Register'!$F:$F,MATCH(S25,'iCoA Register'!$P:$P,0))),(INDEX('iCoA Register'!$F:$F,MATCH(S25,'iCoA Register'!$P:$P,0)))+CHOOSE(WEEKDAY(INDEX('iCoA Register'!$F:$F,MATCH(S25,'iCoA Register'!$P:$P,0)),2),0,0,0,0,0,2,1),0),0)))</f>
        <v/>
      </c>
      <c r="E25" s="5">
        <f>IF(ISNUMBER(F25),IF(AND(J25="legacy",F25&lt;=DATE(2026,5,27)),DATE(2026,5,27),MAX(DATE(2026,5,27),(F25+7)+CHOOSE(WEEKDAY(F25+7,2),0,0,0,0,0,2,1))),IF(J25="legacy",DATE(2026,5,27),""))</f>
        <v/>
      </c>
      <c r="F25" s="5" t="n">
        <v>45919</v>
      </c>
      <c r="G25" s="2" t="inlineStr">
        <is>
          <t>ППК25278</t>
        </is>
      </c>
      <c r="H25" s="2">
        <f>IFERROR(INDEX('iCoA Register'!$B:$B,MATCH("P050182|I",'iCoA Register'!$P:$P,0)),"—")</f>
        <v/>
      </c>
      <c r="I25" s="5">
        <f>IFERROR(INDEX('iCoA Register'!$D:$D,MATCH("P050182|I",'iCoA Register'!$P:$P,0)),"")</f>
        <v/>
      </c>
      <c r="J25" s="2" t="inlineStr">
        <is>
          <t>legacy</t>
        </is>
      </c>
      <c r="K25" s="2" t="inlineStr">
        <is>
          <t>initial release</t>
        </is>
      </c>
      <c r="L25" s="3" t="inlineStr">
        <is>
          <t>HPA052501</t>
        </is>
      </c>
      <c r="M25" s="2" t="inlineStr">
        <is>
          <t>P050182</t>
        </is>
      </c>
      <c r="N25" s="2" t="inlineStr">
        <is>
          <t>High Pro Amnesia</t>
        </is>
      </c>
      <c r="O25" s="2" t="inlineStr">
        <is>
          <t>ППК25278, (19.09.2025) [CNP]</t>
        </is>
      </c>
      <c r="P25" s="6" t="inlineStr">
        <is>
          <t>—</t>
        </is>
      </c>
      <c r="Q25" s="2" t="inlineStr">
        <is>
          <t>—</t>
        </is>
      </c>
      <c r="R25" s="2" t="inlineStr">
        <is>
          <t>CoQ-PP-2025-0016</t>
        </is>
      </c>
      <c r="S25" s="2" t="inlineStr">
        <is>
          <t>P050182|I</t>
        </is>
      </c>
      <c r="T25" s="7" t="inlineStr">
        <is>
          <t>registered — legacy series, issued 27.05.2026</t>
        </is>
      </c>
    </row>
    <row r="26">
      <c r="A26" s="2">
        <f>IF(C26="yes",COUNT(A$1:A25)+1,"")</f>
        <v/>
      </c>
      <c r="B26" s="3">
        <f>IF(A26&lt;&gt;"","CoQ-PP_26-"&amp;TEXT(A26,"000"),"— at issue —")</f>
        <v/>
      </c>
      <c r="C26" s="4" t="inlineStr">
        <is>
          <t>yes</t>
        </is>
      </c>
      <c r="D26" s="5">
        <f>IF(A26="","",MAX(E26,IF(ISNUMBER(I26),I26,0),IFERROR(IF(ISNUMBER(INDEX('iCoA Register'!$F:$F,MATCH(S26,'iCoA Register'!$P:$P,0))),(INDEX('iCoA Register'!$F:$F,MATCH(S26,'iCoA Register'!$P:$P,0)))+CHOOSE(WEEKDAY(INDEX('iCoA Register'!$F:$F,MATCH(S26,'iCoA Register'!$P:$P,0)),2),0,0,0,0,0,2,1),0),0)))</f>
        <v/>
      </c>
      <c r="E26" s="5">
        <f>IF(ISNUMBER(F26),IF(AND(J26="legacy",F26&lt;=DATE(2026,5,27)),DATE(2026,5,27),MAX(DATE(2026,5,27),(F26+7)+CHOOSE(WEEKDAY(F26+7,2),0,0,0,0,0,2,1))),IF(J26="legacy",DATE(2026,5,27),""))</f>
        <v/>
      </c>
      <c r="F26" s="5" t="n">
        <v>45992</v>
      </c>
      <c r="G26" s="2" t="inlineStr">
        <is>
          <t>5661-2025</t>
        </is>
      </c>
      <c r="H26" s="2">
        <f>IFERROR(INDEX('iCoA Register'!$B:$B,MATCH("P050192|I",'iCoA Register'!$P:$P,0)),"—")</f>
        <v/>
      </c>
      <c r="I26" s="5">
        <f>IFERROR(INDEX('iCoA Register'!$D:$D,MATCH("P050192|I",'iCoA Register'!$P:$P,0)),"")</f>
        <v/>
      </c>
      <c r="J26" s="2" t="inlineStr">
        <is>
          <t>legacy</t>
        </is>
      </c>
      <c r="K26" s="2" t="inlineStr">
        <is>
          <t>initial release</t>
        </is>
      </c>
      <c r="L26" s="3" t="inlineStr">
        <is>
          <t>BSS052501</t>
        </is>
      </c>
      <c r="M26" s="2" t="inlineStr">
        <is>
          <t>P050192</t>
        </is>
      </c>
      <c r="N26" s="2" t="inlineStr">
        <is>
          <t>Sleepy Joe</t>
        </is>
      </c>
      <c r="O26" s="2" t="inlineStr">
        <is>
          <t>NGP-QCG-SOP-024 F3, (28.11.2025) [NGP]</t>
        </is>
      </c>
      <c r="P26" s="6" t="inlineStr">
        <is>
          <t>—</t>
        </is>
      </c>
      <c r="Q26" s="2" t="inlineStr">
        <is>
          <t>PP CoA #017 of 04.12.2025</t>
        </is>
      </c>
      <c r="R26" s="2" t="inlineStr">
        <is>
          <t>CoQ-PP-2025-0017</t>
        </is>
      </c>
      <c r="S26" s="2" t="inlineStr">
        <is>
          <t>P050192|I</t>
        </is>
      </c>
      <c r="T26" s="7" t="inlineStr">
        <is>
          <t>registered — legacy series, issued 27.05.2026</t>
        </is>
      </c>
    </row>
    <row r="27">
      <c r="A27" s="2">
        <f>IF(C27="yes",COUNT(A$1:A26)+1,"")</f>
        <v/>
      </c>
      <c r="B27" s="3">
        <f>IF(A27&lt;&gt;"","CoQ-PP_26-"&amp;TEXT(A27,"000"),"— at issue —")</f>
        <v/>
      </c>
      <c r="C27" s="4" t="inlineStr">
        <is>
          <t>yes</t>
        </is>
      </c>
      <c r="D27" s="5">
        <f>IF(A27="","",MAX(E27,IF(ISNUMBER(I27),I27,0),IFERROR(IF(ISNUMBER(INDEX('iCoA Register'!$F:$F,MATCH(S27,'iCoA Register'!$P:$P,0))),(INDEX('iCoA Register'!$F:$F,MATCH(S27,'iCoA Register'!$P:$P,0)))+CHOOSE(WEEKDAY(INDEX('iCoA Register'!$F:$F,MATCH(S27,'iCoA Register'!$P:$P,0)),2),0,0,0,0,0,2,1),0),0)))</f>
        <v/>
      </c>
      <c r="E27" s="5">
        <f>IF(ISNUMBER(F27),IF(AND(J27="legacy",F27&lt;=DATE(2026,5,27)),DATE(2026,5,27),MAX(DATE(2026,5,27),(F27+7)+CHOOSE(WEEKDAY(F27+7,2),0,0,0,0,0,2,1))),IF(J27="legacy",DATE(2026,5,27),""))</f>
        <v/>
      </c>
      <c r="F27" s="5" t="n">
        <v>46086</v>
      </c>
      <c r="G27" s="2" t="inlineStr">
        <is>
          <t>ППК26036</t>
        </is>
      </c>
      <c r="H27" s="2">
        <f>IFERROR(INDEX('iCoA Register'!$B:$B,MATCH("P050202|I",'iCoA Register'!$P:$P,0)),"—")</f>
        <v/>
      </c>
      <c r="I27" s="5">
        <f>IFERROR(INDEX('iCoA Register'!$D:$D,MATCH("P050202|I",'iCoA Register'!$P:$P,0)),"")</f>
        <v/>
      </c>
      <c r="J27" s="2" t="inlineStr">
        <is>
          <t>legacy</t>
        </is>
      </c>
      <c r="K27" s="2" t="inlineStr">
        <is>
          <t>initial release</t>
        </is>
      </c>
      <c r="L27" s="3" t="inlineStr">
        <is>
          <t>GP062501</t>
        </is>
      </c>
      <c r="M27" s="2" t="inlineStr">
        <is>
          <t>P050202</t>
        </is>
      </c>
      <c r="N27" s="2" t="inlineStr">
        <is>
          <t>Grape Pie</t>
        </is>
      </c>
      <c r="O27" s="2" t="inlineStr">
        <is>
          <t>NGP-QCG-SOP-024 F3, (28.11.2025) [NGP]</t>
        </is>
      </c>
      <c r="P27" s="6" t="inlineStr">
        <is>
          <t>—</t>
        </is>
      </c>
      <c r="Q27" s="2" t="inlineStr">
        <is>
          <t>PP CoA #016 of 04.10.2025</t>
        </is>
      </c>
      <c r="R27" s="2" t="inlineStr">
        <is>
          <t>(assigned on issue)</t>
        </is>
      </c>
      <c r="S27" s="2" t="inlineStr">
        <is>
          <t>P050202|I</t>
        </is>
      </c>
      <c r="T27" s="7" t="inlineStr">
        <is>
          <t>registered — legacy series, issued 27.05.2026</t>
        </is>
      </c>
    </row>
    <row r="28">
      <c r="A28" s="2">
        <f>IF(C28="yes",COUNT(A$1:A27)+1,"")</f>
        <v/>
      </c>
      <c r="B28" s="3">
        <f>IF(A28&lt;&gt;"","CoQ-PP_26-"&amp;TEXT(A28,"000"),"— at issue —")</f>
        <v/>
      </c>
      <c r="C28" s="4" t="inlineStr">
        <is>
          <t>yes</t>
        </is>
      </c>
      <c r="D28" s="5">
        <f>IF(A28="","",MAX(E28,IF(ISNUMBER(I28),I28,0),IFERROR(IF(ISNUMBER(INDEX('iCoA Register'!$F:$F,MATCH(S28,'iCoA Register'!$P:$P,0))),(INDEX('iCoA Register'!$F:$F,MATCH(S28,'iCoA Register'!$P:$P,0)))+CHOOSE(WEEKDAY(INDEX('iCoA Register'!$F:$F,MATCH(S28,'iCoA Register'!$P:$P,0)),2),0,0,0,0,0,2,1),0),0)))</f>
        <v/>
      </c>
      <c r="E28" s="5">
        <f>IF(ISNUMBER(F28),IF(AND(J28="legacy",F28&lt;=DATE(2026,5,27)),DATE(2026,5,27),MAX(DATE(2026,5,27),(F28+7)+CHOOSE(WEEKDAY(F28+7,2),0,0,0,0,0,2,1))),IF(J28="legacy",DATE(2026,5,27),""))</f>
        <v/>
      </c>
      <c r="F28" s="5" t="n">
        <v>45954</v>
      </c>
      <c r="G28" s="2" t="inlineStr">
        <is>
          <t>4908-2025</t>
        </is>
      </c>
      <c r="H28" s="2">
        <f>IFERROR(INDEX('iCoA Register'!$B:$B,MATCH("P050212|I",'iCoA Register'!$P:$P,0)),"—")</f>
        <v/>
      </c>
      <c r="I28" s="5">
        <f>IFERROR(INDEX('iCoA Register'!$D:$D,MATCH("P050212|I",'iCoA Register'!$P:$P,0)),"")</f>
        <v/>
      </c>
      <c r="J28" s="2" t="inlineStr">
        <is>
          <t>legacy</t>
        </is>
      </c>
      <c r="K28" s="2" t="inlineStr">
        <is>
          <t>initial release</t>
        </is>
      </c>
      <c r="L28" s="3" t="inlineStr">
        <is>
          <t>CJ062501/2</t>
        </is>
      </c>
      <c r="M28" s="2" t="inlineStr">
        <is>
          <t>P050212</t>
        </is>
      </c>
      <c r="N28" s="2" t="inlineStr">
        <is>
          <t>Cap Junkie</t>
        </is>
      </c>
      <c r="O28" s="2" t="inlineStr">
        <is>
          <t>ППК25322, (23.10.2025) [CNP]</t>
        </is>
      </c>
      <c r="P28" s="6" t="inlineStr">
        <is>
          <t>—</t>
        </is>
      </c>
      <c r="Q28" s="2" t="inlineStr">
        <is>
          <t>PP CoA #028 of 24.01.2026</t>
        </is>
      </c>
      <c r="R28" s="2" t="inlineStr">
        <is>
          <t>(assigned on issue)</t>
        </is>
      </c>
      <c r="S28" s="2" t="inlineStr">
        <is>
          <t>P050212|I</t>
        </is>
      </c>
      <c r="T28" s="7" t="inlineStr">
        <is>
          <t>registered — legacy series, issued 27.05.2026</t>
        </is>
      </c>
    </row>
    <row r="29">
      <c r="A29" s="2">
        <f>IF(C29="yes",COUNT(A$1:A28)+1,"")</f>
        <v/>
      </c>
      <c r="B29" s="3">
        <f>IF(A29&lt;&gt;"","CoQ-PP_26-"&amp;TEXT(A29,"000"),"— at issue —")</f>
        <v/>
      </c>
      <c r="C29" s="4" t="inlineStr">
        <is>
          <t>yes</t>
        </is>
      </c>
      <c r="D29" s="5">
        <f>IF(A29="","",MAX(E29,IF(ISNUMBER(I29),I29,0),IFERROR(IF(ISNUMBER(INDEX('iCoA Register'!$F:$F,MATCH(S29,'iCoA Register'!$P:$P,0))),(INDEX('iCoA Register'!$F:$F,MATCH(S29,'iCoA Register'!$P:$P,0)))+CHOOSE(WEEKDAY(INDEX('iCoA Register'!$F:$F,MATCH(S29,'iCoA Register'!$P:$P,0)),2),0,0,0,0,0,2,1),0),0)))</f>
        <v/>
      </c>
      <c r="E29" s="5">
        <f>IF(ISNUMBER(F29),IF(AND(J29="legacy",F29&lt;=DATE(2026,5,27)),DATE(2026,5,27),MAX(DATE(2026,5,27),(F29+7)+CHOOSE(WEEKDAY(F29+7,2),0,0,0,0,0,2,1))),IF(J29="legacy",DATE(2026,5,27),""))</f>
        <v/>
      </c>
      <c r="F29" s="5" t="n">
        <v>45992</v>
      </c>
      <c r="G29" s="2" t="inlineStr">
        <is>
          <t>1217-2168-25</t>
        </is>
      </c>
      <c r="H29" s="2">
        <f>IFERROR(INDEX('iCoA Register'!$B:$B,MATCH("P050222|I",'iCoA Register'!$P:$P,0)),"—")</f>
        <v/>
      </c>
      <c r="I29" s="5">
        <f>IFERROR(INDEX('iCoA Register'!$D:$D,MATCH("P050222|I",'iCoA Register'!$P:$P,0)),"")</f>
        <v/>
      </c>
      <c r="J29" s="2" t="inlineStr">
        <is>
          <t>legacy</t>
        </is>
      </c>
      <c r="K29" s="2" t="inlineStr">
        <is>
          <t>initial release</t>
        </is>
      </c>
      <c r="L29" s="3" t="inlineStr">
        <is>
          <t>CJ062501/1</t>
        </is>
      </c>
      <c r="M29" s="2" t="inlineStr">
        <is>
          <t>P050222</t>
        </is>
      </c>
      <c r="N29" s="2" t="inlineStr">
        <is>
          <t>Cap Junkie</t>
        </is>
      </c>
      <c r="O29" s="2" t="inlineStr">
        <is>
          <t>ППК25321, (23.10.2025) [CNP]</t>
        </is>
      </c>
      <c r="P29" s="6" t="inlineStr">
        <is>
          <t>—</t>
        </is>
      </c>
      <c r="Q29" s="2" t="inlineStr">
        <is>
          <t>—</t>
        </is>
      </c>
      <c r="R29" s="2" t="inlineStr">
        <is>
          <t>CoQ-PP-2025-0018</t>
        </is>
      </c>
      <c r="S29" s="2" t="inlineStr">
        <is>
          <t>P050222|I</t>
        </is>
      </c>
      <c r="T29" s="7" t="inlineStr">
        <is>
          <t>registered — legacy series, issued 27.05.2026</t>
        </is>
      </c>
    </row>
    <row r="30">
      <c r="A30" s="2">
        <f>IF(C30="yes",COUNT(A$1:A29)+1,"")</f>
        <v/>
      </c>
      <c r="B30" s="3">
        <f>IF(A30&lt;&gt;"","CoQ-PP_26-"&amp;TEXT(A30,"000"),"— at issue —")</f>
        <v/>
      </c>
      <c r="C30" s="4" t="inlineStr">
        <is>
          <t>yes</t>
        </is>
      </c>
      <c r="D30" s="5">
        <f>IF(A30="","",MAX(E30,IF(ISNUMBER(I30),I30,0),IFERROR(IF(ISNUMBER(INDEX('iCoA Register'!$F:$F,MATCH(S30,'iCoA Register'!$P:$P,0))),(INDEX('iCoA Register'!$F:$F,MATCH(S30,'iCoA Register'!$P:$P,0)))+CHOOSE(WEEKDAY(INDEX('iCoA Register'!$F:$F,MATCH(S30,'iCoA Register'!$P:$P,0)),2),0,0,0,0,0,2,1),0),0)))</f>
        <v/>
      </c>
      <c r="E30" s="5">
        <f>IF(ISNUMBER(F30),IF(AND(J30="legacy",F30&lt;=DATE(2026,5,27)),DATE(2026,5,27),MAX(DATE(2026,5,27),(F30+7)+CHOOSE(WEEKDAY(F30+7,2),0,0,0,0,0,2,1))),IF(J30="legacy",DATE(2026,5,27),""))</f>
        <v/>
      </c>
      <c r="F30" s="5" t="n">
        <v>45993</v>
      </c>
      <c r="G30" s="2" t="inlineStr">
        <is>
          <t>5697-2025</t>
        </is>
      </c>
      <c r="H30" s="2">
        <f>IFERROR(INDEX('iCoA Register'!$B:$B,MATCH("P050252|I",'iCoA Register'!$P:$P,0)),"—")</f>
        <v/>
      </c>
      <c r="I30" s="5">
        <f>IFERROR(INDEX('iCoA Register'!$D:$D,MATCH("P050252|I",'iCoA Register'!$P:$P,0)),"")</f>
        <v/>
      </c>
      <c r="J30" s="2" t="inlineStr">
        <is>
          <t>legacy</t>
        </is>
      </c>
      <c r="K30" s="2" t="inlineStr">
        <is>
          <t>initial release</t>
        </is>
      </c>
      <c r="L30" s="3" t="inlineStr">
        <is>
          <t>CJ072501</t>
        </is>
      </c>
      <c r="M30" s="2" t="inlineStr">
        <is>
          <t>P050252</t>
        </is>
      </c>
      <c r="N30" s="2" t="inlineStr">
        <is>
          <t>Cap Junky</t>
        </is>
      </c>
      <c r="O30" s="2" t="inlineStr">
        <is>
          <t>ППК25367, (28.11.2025) [CNP]</t>
        </is>
      </c>
      <c r="P30" s="6" t="inlineStr">
        <is>
          <t>—</t>
        </is>
      </c>
      <c r="Q30" s="2" t="inlineStr">
        <is>
          <t>—</t>
        </is>
      </c>
      <c r="R30" s="2" t="inlineStr">
        <is>
          <t>(assigned on issue)</t>
        </is>
      </c>
      <c r="S30" s="2" t="inlineStr">
        <is>
          <t>P050252|I</t>
        </is>
      </c>
      <c r="T30" s="7" t="inlineStr">
        <is>
          <t>registered — legacy series, issued 27.05.2026</t>
        </is>
      </c>
    </row>
    <row r="31">
      <c r="A31" s="2">
        <f>IF(C31="yes",COUNT(A$1:A30)+1,"")</f>
        <v/>
      </c>
      <c r="B31" s="3">
        <f>IF(A31&lt;&gt;"","CoQ-PP_26-"&amp;TEXT(A31,"000"),"— at issue —")</f>
        <v/>
      </c>
      <c r="C31" s="4" t="inlineStr">
        <is>
          <t>yes</t>
        </is>
      </c>
      <c r="D31" s="5">
        <f>IF(A31="","",MAX(E31,IF(ISNUMBER(I31),I31,0),IFERROR(IF(ISNUMBER(INDEX('iCoA Register'!$F:$F,MATCH(S31,'iCoA Register'!$P:$P,0))),(INDEX('iCoA Register'!$F:$F,MATCH(S31,'iCoA Register'!$P:$P,0)))+CHOOSE(WEEKDAY(INDEX('iCoA Register'!$F:$F,MATCH(S31,'iCoA Register'!$P:$P,0)),2),0,0,0,0,0,2,1),0),0)))</f>
        <v/>
      </c>
      <c r="E31" s="5">
        <f>IF(ISNUMBER(F31),IF(AND(J31="legacy",F31&lt;=DATE(2026,5,27)),DATE(2026,5,27),MAX(DATE(2026,5,27),(F31+7)+CHOOSE(WEEKDAY(F31+7,2),0,0,0,0,0,2,1))),IF(J31="legacy",DATE(2026,5,27),""))</f>
        <v/>
      </c>
      <c r="F31" s="5" t="n">
        <v>45993</v>
      </c>
      <c r="G31" s="2" t="inlineStr">
        <is>
          <t>5699-2025</t>
        </is>
      </c>
      <c r="H31" s="2">
        <f>IFERROR(INDEX('iCoA Register'!$B:$B,MATCH("P050262|I",'iCoA Register'!$P:$P,0)),"—")</f>
        <v/>
      </c>
      <c r="I31" s="5">
        <f>IFERROR(INDEX('iCoA Register'!$D:$D,MATCH("P050262|I",'iCoA Register'!$P:$P,0)),"")</f>
        <v/>
      </c>
      <c r="J31" s="2" t="inlineStr">
        <is>
          <t>legacy</t>
        </is>
      </c>
      <c r="K31" s="2" t="inlineStr">
        <is>
          <t>initial release</t>
        </is>
      </c>
      <c r="L31" s="3" t="inlineStr">
        <is>
          <t>WC072501</t>
        </is>
      </c>
      <c r="M31" s="2" t="inlineStr">
        <is>
          <t>P050262</t>
        </is>
      </c>
      <c r="N31" s="2" t="inlineStr">
        <is>
          <t>Wedding Crusher</t>
        </is>
      </c>
      <c r="O31" s="2" t="inlineStr">
        <is>
          <t>ППК25369, (28.11.2025) [CNP]</t>
        </is>
      </c>
      <c r="P31" s="6" t="inlineStr">
        <is>
          <t>—</t>
        </is>
      </c>
      <c r="Q31" s="2" t="inlineStr">
        <is>
          <t>—</t>
        </is>
      </c>
      <c r="R31" s="2" t="inlineStr">
        <is>
          <t>(assigned on issue)</t>
        </is>
      </c>
      <c r="S31" s="2" t="inlineStr">
        <is>
          <t>P050262|I</t>
        </is>
      </c>
      <c r="T31" s="7" t="inlineStr">
        <is>
          <t>registered — legacy series, issued 27.05.2026</t>
        </is>
      </c>
    </row>
    <row r="32">
      <c r="A32" s="2">
        <f>IF(C32="yes",COUNT(A$1:A31)+1,"")</f>
        <v/>
      </c>
      <c r="B32" s="3">
        <f>IF(A32&lt;&gt;"","CoQ-PP_26-"&amp;TEXT(A32,"000"),"— at issue —")</f>
        <v/>
      </c>
      <c r="C32" s="4" t="inlineStr">
        <is>
          <t>yes</t>
        </is>
      </c>
      <c r="D32" s="5">
        <f>IF(A32="","",MAX(E32,IF(ISNUMBER(I32),I32,0),IFERROR(IF(ISNUMBER(INDEX('iCoA Register'!$F:$F,MATCH(S32,'iCoA Register'!$P:$P,0))),(INDEX('iCoA Register'!$F:$F,MATCH(S32,'iCoA Register'!$P:$P,0)))+CHOOSE(WEEKDAY(INDEX('iCoA Register'!$F:$F,MATCH(S32,'iCoA Register'!$P:$P,0)),2),0,0,0,0,0,2,1),0),0)))</f>
        <v/>
      </c>
      <c r="E32" s="5">
        <f>IF(ISNUMBER(F32),IF(AND(J32="legacy",F32&lt;=DATE(2026,5,27)),DATE(2026,5,27),MAX(DATE(2026,5,27),(F32+7)+CHOOSE(WEEKDAY(F32+7,2),0,0,0,0,0,2,1))),IF(J32="legacy",DATE(2026,5,27),""))</f>
        <v/>
      </c>
      <c r="F32" s="5" t="n">
        <v>45993</v>
      </c>
      <c r="G32" s="2" t="inlineStr">
        <is>
          <t>5698-2025</t>
        </is>
      </c>
      <c r="H32" s="2">
        <f>IFERROR(INDEX('iCoA Register'!$B:$B,MATCH("P050272|I",'iCoA Register'!$P:$P,0)),"—")</f>
        <v/>
      </c>
      <c r="I32" s="5">
        <f>IFERROR(INDEX('iCoA Register'!$D:$D,MATCH("P050272|I",'iCoA Register'!$P:$P,0)),"")</f>
        <v/>
      </c>
      <c r="J32" s="2" t="inlineStr">
        <is>
          <t>legacy</t>
        </is>
      </c>
      <c r="K32" s="2" t="inlineStr">
        <is>
          <t>initial release</t>
        </is>
      </c>
      <c r="L32" s="3" t="inlineStr">
        <is>
          <t>PM072501</t>
        </is>
      </c>
      <c r="M32" s="2" t="inlineStr">
        <is>
          <t>P050272</t>
        </is>
      </c>
      <c r="N32" s="2" t="inlineStr">
        <is>
          <t>Permanent Marker</t>
        </is>
      </c>
      <c r="O32" s="2" t="inlineStr">
        <is>
          <t>ППК25368, (28.11.2025) [CNP]</t>
        </is>
      </c>
      <c r="P32" s="6" t="inlineStr">
        <is>
          <t>—</t>
        </is>
      </c>
      <c r="Q32" s="2" t="inlineStr">
        <is>
          <t>PP CoA #026 of 21.01.2026</t>
        </is>
      </c>
      <c r="R32" s="2" t="inlineStr">
        <is>
          <t>(assigned on issue)</t>
        </is>
      </c>
      <c r="S32" s="2" t="inlineStr">
        <is>
          <t>P050272|I</t>
        </is>
      </c>
      <c r="T32" s="7" t="inlineStr">
        <is>
          <t>registered — legacy series, issued 27.05.2026</t>
        </is>
      </c>
    </row>
    <row r="33">
      <c r="A33" s="2">
        <f>IF(C33="yes",COUNT(A$1:A32)+1,"")</f>
        <v/>
      </c>
      <c r="B33" s="3">
        <f>IF(A33&lt;&gt;"","CoQ-PP_26-"&amp;TEXT(A33,"000"),"— at issue —")</f>
        <v/>
      </c>
      <c r="C33" s="4" t="inlineStr">
        <is>
          <t>yes</t>
        </is>
      </c>
      <c r="D33" s="5">
        <f>IF(A33="","",MAX(E33,IF(ISNUMBER(I33),I33,0),IFERROR(IF(ISNUMBER(INDEX('iCoA Register'!$F:$F,MATCH(S33,'iCoA Register'!$P:$P,0))),(INDEX('iCoA Register'!$F:$F,MATCH(S33,'iCoA Register'!$P:$P,0)))+CHOOSE(WEEKDAY(INDEX('iCoA Register'!$F:$F,MATCH(S33,'iCoA Register'!$P:$P,0)),2),0,0,0,0,0,2,1),0),0)))</f>
        <v/>
      </c>
      <c r="E33" s="5">
        <f>IF(ISNUMBER(F33),IF(AND(J33="legacy",F33&lt;=DATE(2026,5,27)),DATE(2026,5,27),MAX(DATE(2026,5,27),(F33+7)+CHOOSE(WEEKDAY(F33+7,2),0,0,0,0,0,2,1))),IF(J33="legacy",DATE(2026,5,27),""))</f>
        <v/>
      </c>
      <c r="F33" s="5" t="n">
        <v>45993</v>
      </c>
      <c r="G33" s="2" t="inlineStr">
        <is>
          <t>5700-2025</t>
        </is>
      </c>
      <c r="H33" s="2">
        <f>IFERROR(INDEX('iCoA Register'!$B:$B,MATCH("P050282|I",'iCoA Register'!$P:$P,0)),"—")</f>
        <v/>
      </c>
      <c r="I33" s="5">
        <f>IFERROR(INDEX('iCoA Register'!$D:$D,MATCH("P050282|I",'iCoA Register'!$P:$P,0)),"")</f>
        <v/>
      </c>
      <c r="J33" s="2" t="inlineStr">
        <is>
          <t>legacy</t>
        </is>
      </c>
      <c r="K33" s="2" t="inlineStr">
        <is>
          <t>initial release</t>
        </is>
      </c>
      <c r="L33" s="3" t="inlineStr">
        <is>
          <t>CLE072501</t>
        </is>
      </c>
      <c r="M33" s="2" t="inlineStr">
        <is>
          <t>P050282</t>
        </is>
      </c>
      <c r="N33" s="2" t="inlineStr">
        <is>
          <t>Clemosa a bud</t>
        </is>
      </c>
      <c r="O33" s="2" t="inlineStr">
        <is>
          <t>ППК25370, (28.11.2025) [CNP]</t>
        </is>
      </c>
      <c r="P33" s="6" t="inlineStr">
        <is>
          <t>—</t>
        </is>
      </c>
      <c r="Q33" s="2" t="inlineStr">
        <is>
          <t>—</t>
        </is>
      </c>
      <c r="R33" s="2" t="inlineStr">
        <is>
          <t>CoQ-PP-2025-0019</t>
        </is>
      </c>
      <c r="S33" s="2" t="inlineStr">
        <is>
          <t>P050282|I</t>
        </is>
      </c>
      <c r="T33" s="7" t="inlineStr">
        <is>
          <t>registered — legacy series, issued 27.05.2026</t>
        </is>
      </c>
    </row>
    <row r="34">
      <c r="A34" s="2">
        <f>IF(C34="yes",COUNT(A$1:A33)+1,"")</f>
        <v/>
      </c>
      <c r="B34" s="3">
        <f>IF(A34&lt;&gt;"","CoQ-PP_26-"&amp;TEXT(A34,"000"),"— at issue —")</f>
        <v/>
      </c>
      <c r="C34" s="4" t="inlineStr">
        <is>
          <t>yes</t>
        </is>
      </c>
      <c r="D34" s="5">
        <f>IF(A34="","",MAX(E34,IF(ISNUMBER(I34),I34,0),IFERROR(IF(ISNUMBER(INDEX('iCoA Register'!$F:$F,MATCH(S34,'iCoA Register'!$P:$P,0))),(INDEX('iCoA Register'!$F:$F,MATCH(S34,'iCoA Register'!$P:$P,0)))+CHOOSE(WEEKDAY(INDEX('iCoA Register'!$F:$F,MATCH(S34,'iCoA Register'!$P:$P,0)),2),0,0,0,0,0,2,1),0),0)))</f>
        <v/>
      </c>
      <c r="E34" s="5">
        <f>IF(ISNUMBER(F34),IF(AND(J34="legacy",F34&lt;=DATE(2026,5,27)),DATE(2026,5,27),MAX(DATE(2026,5,27),(F34+7)+CHOOSE(WEEKDAY(F34+7,2),0,0,0,0,0,2,1))),IF(J34="legacy",DATE(2026,5,27),""))</f>
        <v/>
      </c>
      <c r="F34" s="5" t="n">
        <v>46003</v>
      </c>
      <c r="G34" s="2" t="inlineStr">
        <is>
          <t>ППК25378</t>
        </is>
      </c>
      <c r="H34" s="2">
        <f>IFERROR(INDEX('iCoA Register'!$B:$B,MATCH("P050292|I",'iCoA Register'!$P:$P,0)),"—")</f>
        <v/>
      </c>
      <c r="I34" s="5">
        <f>IFERROR(INDEX('iCoA Register'!$D:$D,MATCH("P050292|I",'iCoA Register'!$P:$P,0)),"")</f>
        <v/>
      </c>
      <c r="J34" s="2" t="inlineStr">
        <is>
          <t>legacy</t>
        </is>
      </c>
      <c r="K34" s="2" t="inlineStr">
        <is>
          <t>initial release</t>
        </is>
      </c>
      <c r="L34" s="3" t="inlineStr">
        <is>
          <t>GP072501/1</t>
        </is>
      </c>
      <c r="M34" s="2" t="inlineStr">
        <is>
          <t>P050292</t>
        </is>
      </c>
      <c r="N34" s="2" t="inlineStr">
        <is>
          <t>Grape Pie</t>
        </is>
      </c>
      <c r="O34" s="2" t="inlineStr">
        <is>
          <t>ППК25378, (12.12.2025) [CNP]</t>
        </is>
      </c>
      <c r="P34" s="6" t="inlineStr">
        <is>
          <t>—</t>
        </is>
      </c>
      <c r="Q34" s="2" t="inlineStr">
        <is>
          <t>—</t>
        </is>
      </c>
      <c r="R34" s="2" t="inlineStr">
        <is>
          <t>(assigned on issue)</t>
        </is>
      </c>
      <c r="S34" s="2" t="inlineStr">
        <is>
          <t>P050292|I</t>
        </is>
      </c>
      <c r="T34" s="7" t="inlineStr">
        <is>
          <t>registered — legacy series, issued 27.05.2026</t>
        </is>
      </c>
    </row>
    <row r="35">
      <c r="A35" s="2">
        <f>IF(C35="yes",COUNT(A$1:A34)+1,"")</f>
        <v/>
      </c>
      <c r="B35" s="3">
        <f>IF(A35&lt;&gt;"","CoQ-PP_26-"&amp;TEXT(A35,"000"),"— at issue —")</f>
        <v/>
      </c>
      <c r="C35" s="4" t="inlineStr">
        <is>
          <t>yes</t>
        </is>
      </c>
      <c r="D35" s="5">
        <f>IF(A35="","",MAX(E35,IF(ISNUMBER(I35),I35,0),IFERROR(IF(ISNUMBER(INDEX('iCoA Register'!$F:$F,MATCH(S35,'iCoA Register'!$P:$P,0))),(INDEX('iCoA Register'!$F:$F,MATCH(S35,'iCoA Register'!$P:$P,0)))+CHOOSE(WEEKDAY(INDEX('iCoA Register'!$F:$F,MATCH(S35,'iCoA Register'!$P:$P,0)),2),0,0,0,0,0,2,1),0),0)))</f>
        <v/>
      </c>
      <c r="E35" s="5">
        <f>IF(ISNUMBER(F35),IF(AND(J35="legacy",F35&lt;=DATE(2026,5,27)),DATE(2026,5,27),MAX(DATE(2026,5,27),(F35+7)+CHOOSE(WEEKDAY(F35+7,2),0,0,0,0,0,2,1))),IF(J35="legacy",DATE(2026,5,27),""))</f>
        <v/>
      </c>
      <c r="F35" s="5" t="n">
        <v>46003</v>
      </c>
      <c r="G35" s="2" t="inlineStr">
        <is>
          <t>ППК25379</t>
        </is>
      </c>
      <c r="H35" s="2">
        <f>IFERROR(INDEX('iCoA Register'!$B:$B,MATCH("P050302|I",'iCoA Register'!$P:$P,0)),"—")</f>
        <v/>
      </c>
      <c r="I35" s="5">
        <f>IFERROR(INDEX('iCoA Register'!$D:$D,MATCH("P050302|I",'iCoA Register'!$P:$P,0)),"")</f>
        <v/>
      </c>
      <c r="J35" s="2" t="inlineStr">
        <is>
          <t>legacy</t>
        </is>
      </c>
      <c r="K35" s="2" t="inlineStr">
        <is>
          <t>initial release</t>
        </is>
      </c>
      <c r="L35" s="3" t="inlineStr">
        <is>
          <t>GP072501/2</t>
        </is>
      </c>
      <c r="M35" s="2" t="inlineStr">
        <is>
          <t>P050302</t>
        </is>
      </c>
      <c r="N35" s="2" t="inlineStr">
        <is>
          <t>Grape Pie</t>
        </is>
      </c>
      <c r="O35" s="2" t="inlineStr">
        <is>
          <t>ППК25379, (12.12.2025) [CNP]</t>
        </is>
      </c>
      <c r="P35" s="6" t="inlineStr">
        <is>
          <t>—</t>
        </is>
      </c>
      <c r="Q35" s="2" t="inlineStr">
        <is>
          <t>—</t>
        </is>
      </c>
      <c r="R35" s="2" t="inlineStr">
        <is>
          <t>CoQ-PP-2025-0020</t>
        </is>
      </c>
      <c r="S35" s="2" t="inlineStr">
        <is>
          <t>P050302|I</t>
        </is>
      </c>
      <c r="T35" s="7" t="inlineStr">
        <is>
          <t>registered — legacy series, issued 27.05.2026</t>
        </is>
      </c>
    </row>
    <row r="36">
      <c r="A36" s="2">
        <f>IF(C36="yes",COUNT(A$1:A35)+1,"")</f>
        <v/>
      </c>
      <c r="B36" s="3">
        <f>IF(A36&lt;&gt;"","CoQ-PP_26-"&amp;TEXT(A36,"000"),"— at issue —")</f>
        <v/>
      </c>
      <c r="C36" s="4" t="inlineStr">
        <is>
          <t>yes</t>
        </is>
      </c>
      <c r="D36" s="5">
        <f>IF(A36="","",MAX(E36,IF(ISNUMBER(I36),I36,0),IFERROR(IF(ISNUMBER(INDEX('iCoA Register'!$F:$F,MATCH(S36,'iCoA Register'!$P:$P,0))),(INDEX('iCoA Register'!$F:$F,MATCH(S36,'iCoA Register'!$P:$P,0)))+CHOOSE(WEEKDAY(INDEX('iCoA Register'!$F:$F,MATCH(S36,'iCoA Register'!$P:$P,0)),2),0,0,0,0,0,2,1),0),0)))</f>
        <v/>
      </c>
      <c r="E36" s="5">
        <f>IF(ISNUMBER(F36),IF(AND(J36="legacy",F36&lt;=DATE(2026,5,27)),DATE(2026,5,27),MAX(DATE(2026,5,27),(F36+7)+CHOOSE(WEEKDAY(F36+7,2),0,0,0,0,0,2,1))),IF(J36="legacy",DATE(2026,5,27),""))</f>
        <v/>
      </c>
      <c r="F36" s="5" t="n">
        <v>46003</v>
      </c>
      <c r="G36" s="2" t="inlineStr">
        <is>
          <t>ППК25380</t>
        </is>
      </c>
      <c r="H36" s="2">
        <f>IFERROR(INDEX('iCoA Register'!$B:$B,MATCH("P050312|I",'iCoA Register'!$P:$P,0)),"—")</f>
        <v/>
      </c>
      <c r="I36" s="5">
        <f>IFERROR(INDEX('iCoA Register'!$D:$D,MATCH("P050312|I",'iCoA Register'!$P:$P,0)),"")</f>
        <v/>
      </c>
      <c r="J36" s="2" t="inlineStr">
        <is>
          <t>legacy</t>
        </is>
      </c>
      <c r="K36" s="2" t="inlineStr">
        <is>
          <t>initial release</t>
        </is>
      </c>
      <c r="L36" s="3" t="inlineStr">
        <is>
          <t>GP082501/1</t>
        </is>
      </c>
      <c r="M36" s="2" t="inlineStr">
        <is>
          <t>P050312</t>
        </is>
      </c>
      <c r="N36" s="2" t="inlineStr">
        <is>
          <t>Grape Pie</t>
        </is>
      </c>
      <c r="O36" s="2" t="inlineStr">
        <is>
          <t>ППК25380, (12.12.2025) [CNP]</t>
        </is>
      </c>
      <c r="P36" s="6" t="inlineStr">
        <is>
          <t>—</t>
        </is>
      </c>
      <c r="Q36" s="2" t="inlineStr">
        <is>
          <t>—</t>
        </is>
      </c>
      <c r="R36" s="2" t="inlineStr">
        <is>
          <t>CoQ-PP-2025-0021</t>
        </is>
      </c>
      <c r="S36" s="2" t="inlineStr">
        <is>
          <t>P050312|I</t>
        </is>
      </c>
      <c r="T36" s="7" t="inlineStr">
        <is>
          <t>registered — legacy series, issued 27.05.2026</t>
        </is>
      </c>
    </row>
    <row r="37">
      <c r="A37" s="2">
        <f>IF(C37="yes",COUNT(A$1:A36)+1,"")</f>
        <v/>
      </c>
      <c r="B37" s="3">
        <f>IF(A37&lt;&gt;"","CoQ-PP_26-"&amp;TEXT(A37,"000"),"— at issue —")</f>
        <v/>
      </c>
      <c r="C37" s="4" t="inlineStr">
        <is>
          <t>yes</t>
        </is>
      </c>
      <c r="D37" s="5">
        <f>IF(A37="","",MAX(E37,IF(ISNUMBER(I37),I37,0),IFERROR(IF(ISNUMBER(INDEX('iCoA Register'!$F:$F,MATCH(S37,'iCoA Register'!$P:$P,0))),(INDEX('iCoA Register'!$F:$F,MATCH(S37,'iCoA Register'!$P:$P,0)))+CHOOSE(WEEKDAY(INDEX('iCoA Register'!$F:$F,MATCH(S37,'iCoA Register'!$P:$P,0)),2),0,0,0,0,0,2,1),0),0)))</f>
        <v/>
      </c>
      <c r="E37" s="5">
        <f>IF(ISNUMBER(F37),IF(AND(J37="legacy",F37&lt;=DATE(2026,5,27)),DATE(2026,5,27),MAX(DATE(2026,5,27),(F37+7)+CHOOSE(WEEKDAY(F37+7,2),0,0,0,0,0,2,1))),IF(J37="legacy",DATE(2026,5,27),""))</f>
        <v/>
      </c>
      <c r="F37" s="5" t="n">
        <v>46003</v>
      </c>
      <c r="G37" s="2" t="inlineStr">
        <is>
          <t>ППК25381</t>
        </is>
      </c>
      <c r="H37" s="2">
        <f>IFERROR(INDEX('iCoA Register'!$B:$B,MATCH("P050322|I",'iCoA Register'!$P:$P,0)),"—")</f>
        <v/>
      </c>
      <c r="I37" s="5">
        <f>IFERROR(INDEX('iCoA Register'!$D:$D,MATCH("P050322|I",'iCoA Register'!$P:$P,0)),"")</f>
        <v/>
      </c>
      <c r="J37" s="2" t="inlineStr">
        <is>
          <t>legacy</t>
        </is>
      </c>
      <c r="K37" s="2" t="inlineStr">
        <is>
          <t>initial release</t>
        </is>
      </c>
      <c r="L37" s="3" t="inlineStr">
        <is>
          <t>GP082501/2</t>
        </is>
      </c>
      <c r="M37" s="2" t="inlineStr">
        <is>
          <t>P050322</t>
        </is>
      </c>
      <c r="N37" s="2" t="inlineStr">
        <is>
          <t>Grape Pie</t>
        </is>
      </c>
      <c r="O37" s="2" t="inlineStr">
        <is>
          <t>ППК25381, (12.12.2025) [CNP]</t>
        </is>
      </c>
      <c r="P37" s="6" t="inlineStr">
        <is>
          <t>—</t>
        </is>
      </c>
      <c r="Q37" s="2" t="inlineStr">
        <is>
          <t>—</t>
        </is>
      </c>
      <c r="R37" s="2" t="inlineStr">
        <is>
          <t>CoQ-PP-2025-0022</t>
        </is>
      </c>
      <c r="S37" s="2" t="inlineStr">
        <is>
          <t>P050322|I</t>
        </is>
      </c>
      <c r="T37" s="7" t="inlineStr">
        <is>
          <t>registered — legacy series, issued 27.05.2026</t>
        </is>
      </c>
    </row>
    <row r="38">
      <c r="A38" s="2">
        <f>IF(C38="yes",COUNT(A$1:A37)+1,"")</f>
        <v/>
      </c>
      <c r="B38" s="3">
        <f>IF(A38&lt;&gt;"","CoQ-PP_26-"&amp;TEXT(A38,"000"),"— at issue —")</f>
        <v/>
      </c>
      <c r="C38" s="4" t="inlineStr">
        <is>
          <t>yes</t>
        </is>
      </c>
      <c r="D38" s="5">
        <f>IF(A38="","",MAX(E38,IF(ISNUMBER(I38),I38,0),IFERROR(IF(ISNUMBER(INDEX('iCoA Register'!$F:$F,MATCH(S38,'iCoA Register'!$P:$P,0))),(INDEX('iCoA Register'!$F:$F,MATCH(S38,'iCoA Register'!$P:$P,0)))+CHOOSE(WEEKDAY(INDEX('iCoA Register'!$F:$F,MATCH(S38,'iCoA Register'!$P:$P,0)),2),0,0,0,0,0,2,1),0),0)))</f>
        <v/>
      </c>
      <c r="E38" s="5">
        <f>IF(ISNUMBER(F38),IF(AND(J38="legacy",F38&lt;=DATE(2026,5,27)),DATE(2026,5,27),MAX(DATE(2026,5,27),(F38+7)+CHOOSE(WEEKDAY(F38+7,2),0,0,0,0,0,2,1))),IF(J38="legacy",DATE(2026,5,27),""))</f>
        <v/>
      </c>
      <c r="F38" s="5" t="n">
        <v>46055</v>
      </c>
      <c r="G38" s="2" t="inlineStr">
        <is>
          <t>80-2026</t>
        </is>
      </c>
      <c r="H38" s="2">
        <f>IFERROR(INDEX('iCoA Register'!$B:$B,MATCH("P060012|I",'iCoA Register'!$P:$P,0)),"—")</f>
        <v/>
      </c>
      <c r="I38" s="5">
        <f>IFERROR(INDEX('iCoA Register'!$D:$D,MATCH("P060012|I",'iCoA Register'!$P:$P,0)),"")</f>
        <v/>
      </c>
      <c r="J38" s="2" t="inlineStr">
        <is>
          <t>legacy</t>
        </is>
      </c>
      <c r="K38" s="2" t="inlineStr">
        <is>
          <t>initial release</t>
        </is>
      </c>
      <c r="L38" s="3" t="inlineStr">
        <is>
          <t>WC082501</t>
        </is>
      </c>
      <c r="M38" s="2" t="inlineStr">
        <is>
          <t>P060012</t>
        </is>
      </c>
      <c r="N38" s="2" t="inlineStr">
        <is>
          <t>Wedding Crasher</t>
        </is>
      </c>
      <c r="O38" s="2" t="inlineStr">
        <is>
          <t>ППК26001, (21.01.2026) [CNP]</t>
        </is>
      </c>
      <c r="P38" s="6" t="inlineStr">
        <is>
          <t>—</t>
        </is>
      </c>
      <c r="Q38" s="2" t="inlineStr">
        <is>
          <t>PP CoA #035 of 20.02.2026</t>
        </is>
      </c>
      <c r="R38" s="2" t="inlineStr">
        <is>
          <t>CoQ-PP-2026-0001</t>
        </is>
      </c>
      <c r="S38" s="2" t="inlineStr">
        <is>
          <t>P060012|I</t>
        </is>
      </c>
      <c r="T38" s="7" t="inlineStr">
        <is>
          <t>registered — legacy series, issued 27.05.2026</t>
        </is>
      </c>
    </row>
    <row r="39">
      <c r="A39" s="2">
        <f>IF(C39="yes",COUNT(A$1:A38)+1,"")</f>
        <v/>
      </c>
      <c r="B39" s="3">
        <f>IF(A39&lt;&gt;"","CoQ-PP_26-"&amp;TEXT(A39,"000"),"— at issue —")</f>
        <v/>
      </c>
      <c r="C39" s="4" t="inlineStr">
        <is>
          <t>yes</t>
        </is>
      </c>
      <c r="D39" s="5">
        <f>IF(A39="","",MAX(E39,IF(ISNUMBER(I39),I39,0),IFERROR(IF(ISNUMBER(INDEX('iCoA Register'!$F:$F,MATCH(S39,'iCoA Register'!$P:$P,0))),(INDEX('iCoA Register'!$F:$F,MATCH(S39,'iCoA Register'!$P:$P,0)))+CHOOSE(WEEKDAY(INDEX('iCoA Register'!$F:$F,MATCH(S39,'iCoA Register'!$P:$P,0)),2),0,0,0,0,0,2,1),0),0)))</f>
        <v/>
      </c>
      <c r="E39" s="5">
        <f>IF(ISNUMBER(F39),IF(AND(J39="legacy",F39&lt;=DATE(2026,5,27)),DATE(2026,5,27),MAX(DATE(2026,5,27),(F39+7)+CHOOSE(WEEKDAY(F39+7,2),0,0,0,0,0,2,1))),IF(J39="legacy",DATE(2026,5,27),""))</f>
        <v/>
      </c>
      <c r="F39" s="5" t="n">
        <v>46055</v>
      </c>
      <c r="G39" s="2" t="inlineStr">
        <is>
          <t>81-2026</t>
        </is>
      </c>
      <c r="H39" s="2">
        <f>IFERROR(INDEX('iCoA Register'!$B:$B,MATCH("P060022|I",'iCoA Register'!$P:$P,0)),"—")</f>
        <v/>
      </c>
      <c r="I39" s="5">
        <f>IFERROR(INDEX('iCoA Register'!$D:$D,MATCH("P060022|I",'iCoA Register'!$P:$P,0)),"")</f>
        <v/>
      </c>
      <c r="J39" s="2" t="inlineStr">
        <is>
          <t>legacy</t>
        </is>
      </c>
      <c r="K39" s="2" t="inlineStr">
        <is>
          <t>initial release</t>
        </is>
      </c>
      <c r="L39" s="3" t="inlineStr">
        <is>
          <t>CJ082501/1</t>
        </is>
      </c>
      <c r="M39" s="2" t="inlineStr">
        <is>
          <t>P060022</t>
        </is>
      </c>
      <c r="N39" s="2" t="inlineStr">
        <is>
          <t>Cap Junky</t>
        </is>
      </c>
      <c r="O39" s="2" t="inlineStr">
        <is>
          <t>ППК26002, (21.01.2026) [CNP]</t>
        </is>
      </c>
      <c r="P39" s="6" t="inlineStr">
        <is>
          <t>—</t>
        </is>
      </c>
      <c r="Q39" s="2" t="inlineStr">
        <is>
          <t>PP CoA #041 of 20.02.2026</t>
        </is>
      </c>
      <c r="R39" s="2" t="inlineStr">
        <is>
          <t>CoQ-PP-2026-0002</t>
        </is>
      </c>
      <c r="S39" s="2" t="inlineStr">
        <is>
          <t>P060022|I</t>
        </is>
      </c>
      <c r="T39" s="7" t="inlineStr">
        <is>
          <t>registered — legacy series, issued 27.05.2026</t>
        </is>
      </c>
    </row>
    <row r="40">
      <c r="A40" s="2">
        <f>IF(C40="yes",COUNT(A$1:A39)+1,"")</f>
        <v/>
      </c>
      <c r="B40" s="3">
        <f>IF(A40&lt;&gt;"","CoQ-PP_26-"&amp;TEXT(A40,"000"),"— at issue —")</f>
        <v/>
      </c>
      <c r="C40" s="4" t="inlineStr">
        <is>
          <t>yes</t>
        </is>
      </c>
      <c r="D40" s="5">
        <f>IF(A40="","",MAX(E40,IF(ISNUMBER(I40),I40,0),IFERROR(IF(ISNUMBER(INDEX('iCoA Register'!$F:$F,MATCH(S40,'iCoA Register'!$P:$P,0))),(INDEX('iCoA Register'!$F:$F,MATCH(S40,'iCoA Register'!$P:$P,0)))+CHOOSE(WEEKDAY(INDEX('iCoA Register'!$F:$F,MATCH(S40,'iCoA Register'!$P:$P,0)),2),0,0,0,0,0,2,1),0),0)))</f>
        <v/>
      </c>
      <c r="E40" s="5">
        <f>IF(ISNUMBER(F40),IF(AND(J40="legacy",F40&lt;=DATE(2026,5,27)),DATE(2026,5,27),MAX(DATE(2026,5,27),(F40+7)+CHOOSE(WEEKDAY(F40+7,2),0,0,0,0,0,2,1))),IF(J40="legacy",DATE(2026,5,27),""))</f>
        <v/>
      </c>
      <c r="F40" s="5" t="n">
        <v>46055</v>
      </c>
      <c r="G40" s="2" t="inlineStr">
        <is>
          <t>82-2026</t>
        </is>
      </c>
      <c r="H40" s="2">
        <f>IFERROR(INDEX('iCoA Register'!$B:$B,MATCH("P060032|I",'iCoA Register'!$P:$P,0)),"—")</f>
        <v/>
      </c>
      <c r="I40" s="5">
        <f>IFERROR(INDEX('iCoA Register'!$D:$D,MATCH("P060032|I",'iCoA Register'!$P:$P,0)),"")</f>
        <v/>
      </c>
      <c r="J40" s="2" t="inlineStr">
        <is>
          <t>legacy</t>
        </is>
      </c>
      <c r="K40" s="2" t="inlineStr">
        <is>
          <t>initial release</t>
        </is>
      </c>
      <c r="L40" s="3" t="inlineStr">
        <is>
          <t>CJ082501/2</t>
        </is>
      </c>
      <c r="M40" s="2" t="inlineStr">
        <is>
          <t>P060032</t>
        </is>
      </c>
      <c r="N40" s="2" t="inlineStr">
        <is>
          <t>Cap Junky</t>
        </is>
      </c>
      <c r="O40" s="2" t="inlineStr">
        <is>
          <t>ППК26003, (21.01.2026) [CNP]</t>
        </is>
      </c>
      <c r="P40" s="6" t="inlineStr">
        <is>
          <t>—</t>
        </is>
      </c>
      <c r="Q40" s="2" t="inlineStr">
        <is>
          <t>PP CoA #034 of 20.02.2026</t>
        </is>
      </c>
      <c r="R40" s="2" t="inlineStr">
        <is>
          <t>CoQ-PP-2026-0003</t>
        </is>
      </c>
      <c r="S40" s="2" t="inlineStr">
        <is>
          <t>P060032|I</t>
        </is>
      </c>
      <c r="T40" s="7" t="inlineStr">
        <is>
          <t>registered — legacy series, issued 27.05.2026</t>
        </is>
      </c>
    </row>
    <row r="41">
      <c r="A41" s="2">
        <f>IF(C41="yes",COUNT(A$1:A40)+1,"")</f>
        <v/>
      </c>
      <c r="B41" s="3">
        <f>IF(A41&lt;&gt;"","CoQ-PP_26-"&amp;TEXT(A41,"000"),"— at issue —")</f>
        <v/>
      </c>
      <c r="C41" s="4" t="inlineStr">
        <is>
          <t>yes</t>
        </is>
      </c>
      <c r="D41" s="5">
        <f>IF(A41="","",MAX(E41,IF(ISNUMBER(I41),I41,0),IFERROR(IF(ISNUMBER(INDEX('iCoA Register'!$F:$F,MATCH(S41,'iCoA Register'!$P:$P,0))),(INDEX('iCoA Register'!$F:$F,MATCH(S41,'iCoA Register'!$P:$P,0)))+CHOOSE(WEEKDAY(INDEX('iCoA Register'!$F:$F,MATCH(S41,'iCoA Register'!$P:$P,0)),2),0,0,0,0,0,2,1),0),0)))</f>
        <v/>
      </c>
      <c r="E41" s="5">
        <f>IF(ISNUMBER(F41),IF(AND(J41="legacy",F41&lt;=DATE(2026,5,27)),DATE(2026,5,27),MAX(DATE(2026,5,27),(F41+7)+CHOOSE(WEEKDAY(F41+7,2),0,0,0,0,0,2,1))),IF(J41="legacy",DATE(2026,5,27),""))</f>
        <v/>
      </c>
      <c r="F41" s="5" t="n">
        <v>46056</v>
      </c>
      <c r="G41" s="2" t="inlineStr">
        <is>
          <t>87-2026</t>
        </is>
      </c>
      <c r="H41" s="2">
        <f>IFERROR(INDEX('iCoA Register'!$B:$B,MATCH("P060042|I",'iCoA Register'!$P:$P,0)),"—")</f>
        <v/>
      </c>
      <c r="I41" s="5">
        <f>IFERROR(INDEX('iCoA Register'!$D:$D,MATCH("P060042|I",'iCoA Register'!$P:$P,0)),"")</f>
        <v/>
      </c>
      <c r="J41" s="2" t="inlineStr">
        <is>
          <t>legacy</t>
        </is>
      </c>
      <c r="K41" s="2" t="inlineStr">
        <is>
          <t>initial release</t>
        </is>
      </c>
      <c r="L41" s="3" t="inlineStr">
        <is>
          <t>OPM092501</t>
        </is>
      </c>
      <c r="M41" s="2" t="inlineStr">
        <is>
          <t>P060042</t>
        </is>
      </c>
      <c r="N41" s="2" t="inlineStr">
        <is>
          <t>Orange Punch Mimosa</t>
        </is>
      </c>
      <c r="O41" s="2" t="inlineStr">
        <is>
          <t>ППК26008, (21.01.2026) [CNP]</t>
        </is>
      </c>
      <c r="P41" s="6" t="inlineStr">
        <is>
          <t>—</t>
        </is>
      </c>
      <c r="Q41" s="2" t="inlineStr">
        <is>
          <t>PP CoA #040 of 20.02.2026</t>
        </is>
      </c>
      <c r="R41" s="2" t="inlineStr">
        <is>
          <t>CoQ-PP-2026-0004</t>
        </is>
      </c>
      <c r="S41" s="2" t="inlineStr">
        <is>
          <t>P060042|I</t>
        </is>
      </c>
      <c r="T41" s="7" t="inlineStr">
        <is>
          <t>registered — legacy series, issued 27.05.2026</t>
        </is>
      </c>
    </row>
    <row r="42">
      <c r="A42" s="2">
        <f>IF(C42="yes",COUNT(A$1:A41)+1,"")</f>
        <v/>
      </c>
      <c r="B42" s="3">
        <f>IF(A42&lt;&gt;"","CoQ-PP_26-"&amp;TEXT(A42,"000"),"— at issue —")</f>
        <v/>
      </c>
      <c r="C42" s="4" t="inlineStr">
        <is>
          <t>yes</t>
        </is>
      </c>
      <c r="D42" s="5">
        <f>IF(A42="","",MAX(E42,IF(ISNUMBER(I42),I42,0),IFERROR(IF(ISNUMBER(INDEX('iCoA Register'!$F:$F,MATCH(S42,'iCoA Register'!$P:$P,0))),(INDEX('iCoA Register'!$F:$F,MATCH(S42,'iCoA Register'!$P:$P,0)))+CHOOSE(WEEKDAY(INDEX('iCoA Register'!$F:$F,MATCH(S42,'iCoA Register'!$P:$P,0)),2),0,0,0,0,0,2,1),0),0)))</f>
        <v/>
      </c>
      <c r="E42" s="5">
        <f>IF(ISNUMBER(F42),IF(AND(J42="legacy",F42&lt;=DATE(2026,5,27)),DATE(2026,5,27),MAX(DATE(2026,5,27),(F42+7)+CHOOSE(WEEKDAY(F42+7,2),0,0,0,0,0,2,1))),IF(J42="legacy",DATE(2026,5,27),""))</f>
        <v/>
      </c>
      <c r="F42" s="5" t="n">
        <v>46055</v>
      </c>
      <c r="G42" s="2" t="inlineStr">
        <is>
          <t>84-2026</t>
        </is>
      </c>
      <c r="H42" s="2">
        <f>IFERROR(INDEX('iCoA Register'!$B:$B,MATCH("P060052|I",'iCoA Register'!$P:$P,0)),"—")</f>
        <v/>
      </c>
      <c r="I42" s="5">
        <f>IFERROR(INDEX('iCoA Register'!$D:$D,MATCH("P060052|I",'iCoA Register'!$P:$P,0)),"")</f>
        <v/>
      </c>
      <c r="J42" s="2" t="inlineStr">
        <is>
          <t>legacy</t>
        </is>
      </c>
      <c r="K42" s="2" t="inlineStr">
        <is>
          <t>initial release</t>
        </is>
      </c>
      <c r="L42" s="3" t="inlineStr">
        <is>
          <t>AB092501</t>
        </is>
      </c>
      <c r="M42" s="2" t="inlineStr">
        <is>
          <t>P060052</t>
        </is>
      </c>
      <c r="N42" s="2" t="inlineStr">
        <is>
          <t>Apple and Banana</t>
        </is>
      </c>
      <c r="O42" s="2" t="inlineStr">
        <is>
          <t>ППК26005, (21.01.2026) [CNP]</t>
        </is>
      </c>
      <c r="P42" s="6" t="inlineStr">
        <is>
          <t>—</t>
        </is>
      </c>
      <c r="Q42" s="2" t="inlineStr">
        <is>
          <t>PP CoA #037 of 20.02.2026</t>
        </is>
      </c>
      <c r="R42" s="2" t="inlineStr">
        <is>
          <t>(assigned on issue)</t>
        </is>
      </c>
      <c r="S42" s="2" t="inlineStr">
        <is>
          <t>P060052|I</t>
        </is>
      </c>
      <c r="T42" s="7" t="inlineStr">
        <is>
          <t>registered — legacy series, issued 27.05.2026</t>
        </is>
      </c>
    </row>
    <row r="43">
      <c r="A43" s="2">
        <f>IF(C43="yes",COUNT(A$1:A42)+1,"")</f>
        <v/>
      </c>
      <c r="B43" s="3">
        <f>IF(A43&lt;&gt;"","CoQ-PP_26-"&amp;TEXT(A43,"000"),"— at issue —")</f>
        <v/>
      </c>
      <c r="C43" s="4" t="inlineStr">
        <is>
          <t>yes</t>
        </is>
      </c>
      <c r="D43" s="5">
        <f>IF(A43="","",MAX(E43,IF(ISNUMBER(I43),I43,0),IFERROR(IF(ISNUMBER(INDEX('iCoA Register'!$F:$F,MATCH(S43,'iCoA Register'!$P:$P,0))),(INDEX('iCoA Register'!$F:$F,MATCH(S43,'iCoA Register'!$P:$P,0)))+CHOOSE(WEEKDAY(INDEX('iCoA Register'!$F:$F,MATCH(S43,'iCoA Register'!$P:$P,0)),2),0,0,0,0,0,2,1),0),0)))</f>
        <v/>
      </c>
      <c r="E43" s="5">
        <f>IF(ISNUMBER(F43),IF(AND(J43="legacy",F43&lt;=DATE(2026,5,27)),DATE(2026,5,27),MAX(DATE(2026,5,27),(F43+7)+CHOOSE(WEEKDAY(F43+7,2),0,0,0,0,0,2,1))),IF(J43="legacy",DATE(2026,5,27),""))</f>
        <v/>
      </c>
      <c r="F43" s="5" t="n">
        <v>46055</v>
      </c>
      <c r="G43" s="2" t="inlineStr">
        <is>
          <t>83-2026</t>
        </is>
      </c>
      <c r="H43" s="2">
        <f>IFERROR(INDEX('iCoA Register'!$B:$B,MATCH("P060062|I",'iCoA Register'!$P:$P,0)),"—")</f>
        <v/>
      </c>
      <c r="I43" s="5">
        <f>IFERROR(INDEX('iCoA Register'!$D:$D,MATCH("P060062|I",'iCoA Register'!$P:$P,0)),"")</f>
        <v/>
      </c>
      <c r="J43" s="2" t="inlineStr">
        <is>
          <t>legacy</t>
        </is>
      </c>
      <c r="K43" s="2" t="inlineStr">
        <is>
          <t>initial release</t>
        </is>
      </c>
      <c r="L43" s="3" t="inlineStr">
        <is>
          <t>PM092501</t>
        </is>
      </c>
      <c r="M43" s="2" t="inlineStr">
        <is>
          <t>P060062</t>
        </is>
      </c>
      <c r="N43" s="2" t="inlineStr">
        <is>
          <t>Permanent Market</t>
        </is>
      </c>
      <c r="O43" s="2" t="inlineStr">
        <is>
          <t>ППК26004, (21.01.2026) [CNP]</t>
        </is>
      </c>
      <c r="P43" s="6" t="inlineStr">
        <is>
          <t>—</t>
        </is>
      </c>
      <c r="Q43" s="2" t="inlineStr">
        <is>
          <t>PP CoA #036 of 20.02.2026</t>
        </is>
      </c>
      <c r="R43" s="2" t="inlineStr">
        <is>
          <t>CoQ-PP-2026-0005</t>
        </is>
      </c>
      <c r="S43" s="2" t="inlineStr">
        <is>
          <t>P060062|I</t>
        </is>
      </c>
      <c r="T43" s="7" t="inlineStr">
        <is>
          <t>registered — legacy series, issued 27.05.2026</t>
        </is>
      </c>
    </row>
    <row r="44">
      <c r="A44" s="2">
        <f>IF(C44="yes",COUNT(A$1:A43)+1,"")</f>
        <v/>
      </c>
      <c r="B44" s="3">
        <f>IF(A44&lt;&gt;"","CoQ-PP_26-"&amp;TEXT(A44,"000"),"— at issue —")</f>
        <v/>
      </c>
      <c r="C44" s="4" t="inlineStr">
        <is>
          <t>yes</t>
        </is>
      </c>
      <c r="D44" s="5">
        <f>IF(A44="","",MAX(E44,IF(ISNUMBER(I44),I44,0),IFERROR(IF(ISNUMBER(INDEX('iCoA Register'!$F:$F,MATCH(S44,'iCoA Register'!$P:$P,0))),(INDEX('iCoA Register'!$F:$F,MATCH(S44,'iCoA Register'!$P:$P,0)))+CHOOSE(WEEKDAY(INDEX('iCoA Register'!$F:$F,MATCH(S44,'iCoA Register'!$P:$P,0)),2),0,0,0,0,0,2,1),0),0)))</f>
        <v/>
      </c>
      <c r="E44" s="5">
        <f>IF(ISNUMBER(F44),IF(AND(J44="legacy",F44&lt;=DATE(2026,5,27)),DATE(2026,5,27),MAX(DATE(2026,5,27),(F44+7)+CHOOSE(WEEKDAY(F44+7,2),0,0,0,0,0,2,1))),IF(J44="legacy",DATE(2026,5,27),""))</f>
        <v/>
      </c>
      <c r="F44" s="5" t="n">
        <v>46055</v>
      </c>
      <c r="G44" s="2" t="inlineStr">
        <is>
          <t>86-2026</t>
        </is>
      </c>
      <c r="H44" s="2">
        <f>IFERROR(INDEX('iCoA Register'!$B:$B,MATCH("P060072|I",'iCoA Register'!$P:$P,0)),"—")</f>
        <v/>
      </c>
      <c r="I44" s="5">
        <f>IFERROR(INDEX('iCoA Register'!$D:$D,MATCH("P060072|I",'iCoA Register'!$P:$P,0)),"")</f>
        <v/>
      </c>
      <c r="J44" s="2" t="inlineStr">
        <is>
          <t>legacy</t>
        </is>
      </c>
      <c r="K44" s="2" t="inlineStr">
        <is>
          <t>initial release</t>
        </is>
      </c>
      <c r="L44" s="3" t="inlineStr">
        <is>
          <t>CJ092501</t>
        </is>
      </c>
      <c r="M44" s="2" t="inlineStr">
        <is>
          <t>P060072</t>
        </is>
      </c>
      <c r="N44" s="2" t="inlineStr">
        <is>
          <t>Cap Junky</t>
        </is>
      </c>
      <c r="O44" s="2" t="inlineStr">
        <is>
          <t>ППК26007, (21.01.2026) [CNP]</t>
        </is>
      </c>
      <c r="P44" s="6" t="inlineStr">
        <is>
          <t>—</t>
        </is>
      </c>
      <c r="Q44" s="2" t="inlineStr">
        <is>
          <t>PP CoA #039 of 20.02.2026</t>
        </is>
      </c>
      <c r="R44" s="2" t="inlineStr">
        <is>
          <t>CoQ-PP-2026-0006</t>
        </is>
      </c>
      <c r="S44" s="2" t="inlineStr">
        <is>
          <t>P060072|I</t>
        </is>
      </c>
      <c r="T44" s="7" t="inlineStr">
        <is>
          <t>registered — legacy series, issued 27.05.2026</t>
        </is>
      </c>
    </row>
    <row r="45">
      <c r="A45" s="2">
        <f>IF(C45="yes",COUNT(A$1:A44)+1,"")</f>
        <v/>
      </c>
      <c r="B45" s="3">
        <f>IF(A45&lt;&gt;"","CoQ-PP_26-"&amp;TEXT(A45,"000"),"— at issue —")</f>
        <v/>
      </c>
      <c r="C45" s="4" t="inlineStr">
        <is>
          <t>yes</t>
        </is>
      </c>
      <c r="D45" s="5">
        <f>IF(A45="","",MAX(E45,IF(ISNUMBER(I45),I45,0),IFERROR(IF(ISNUMBER(INDEX('iCoA Register'!$F:$F,MATCH(S45,'iCoA Register'!$P:$P,0))),(INDEX('iCoA Register'!$F:$F,MATCH(S45,'iCoA Register'!$P:$P,0)))+CHOOSE(WEEKDAY(INDEX('iCoA Register'!$F:$F,MATCH(S45,'iCoA Register'!$P:$P,0)),2),0,0,0,0,0,2,1),0),0)))</f>
        <v/>
      </c>
      <c r="E45" s="5">
        <f>IF(ISNUMBER(F45),IF(AND(J45="legacy",F45&lt;=DATE(2026,5,27)),DATE(2026,5,27),MAX(DATE(2026,5,27),(F45+7)+CHOOSE(WEEKDAY(F45+7,2),0,0,0,0,0,2,1))),IF(J45="legacy",DATE(2026,5,27),""))</f>
        <v/>
      </c>
      <c r="F45" s="5" t="n">
        <v>46055</v>
      </c>
      <c r="G45" s="2" t="inlineStr">
        <is>
          <t>85-2026</t>
        </is>
      </c>
      <c r="H45" s="2">
        <f>IFERROR(INDEX('iCoA Register'!$B:$B,MATCH("P060082|I",'iCoA Register'!$P:$P,0)),"—")</f>
        <v/>
      </c>
      <c r="I45" s="5">
        <f>IFERROR(INDEX('iCoA Register'!$D:$D,MATCH("P060082|I",'iCoA Register'!$P:$P,0)),"")</f>
        <v/>
      </c>
      <c r="J45" s="2" t="inlineStr">
        <is>
          <t>legacy</t>
        </is>
      </c>
      <c r="K45" s="2" t="inlineStr">
        <is>
          <t>initial release</t>
        </is>
      </c>
      <c r="L45" s="3" t="inlineStr">
        <is>
          <t>SJ0925021</t>
        </is>
      </c>
      <c r="M45" s="2" t="inlineStr">
        <is>
          <t>P060082</t>
        </is>
      </c>
      <c r="N45" s="2" t="inlineStr"/>
      <c r="O45" s="2" t="inlineStr">
        <is>
          <t>ППК26006, (21.01.2026) [CNP]</t>
        </is>
      </c>
      <c r="P45" s="6" t="inlineStr">
        <is>
          <t>—</t>
        </is>
      </c>
      <c r="Q45" s="2" t="inlineStr">
        <is>
          <t>PP CoA #038 of 20.02.2026</t>
        </is>
      </c>
      <c r="R45" s="2" t="inlineStr">
        <is>
          <t>CoQ-PP-2026-0007</t>
        </is>
      </c>
      <c r="S45" s="2" t="inlineStr">
        <is>
          <t>P060082|I</t>
        </is>
      </c>
      <c r="T45" s="7" t="inlineStr">
        <is>
          <t>registered — legacy series, issued 27.05.2026</t>
        </is>
      </c>
    </row>
    <row r="46">
      <c r="A46" s="2">
        <f>IF(C46="yes",COUNT(A$1:A45)+1,"")</f>
        <v/>
      </c>
      <c r="B46" s="3">
        <f>IF(A46&lt;&gt;"","CoQ-PP_26-"&amp;TEXT(A46,"000"),"— at issue —")</f>
        <v/>
      </c>
      <c r="C46" s="4" t="inlineStr">
        <is>
          <t>yes</t>
        </is>
      </c>
      <c r="D46" s="5">
        <f>IF(A46="","",MAX(E46,IF(ISNUMBER(I46),I46,0),IFERROR(IF(ISNUMBER(INDEX('iCoA Register'!$F:$F,MATCH(S46,'iCoA Register'!$P:$P,0))),(INDEX('iCoA Register'!$F:$F,MATCH(S46,'iCoA Register'!$P:$P,0)))+CHOOSE(WEEKDAY(INDEX('iCoA Register'!$F:$F,MATCH(S46,'iCoA Register'!$P:$P,0)),2),0,0,0,0,0,2,1),0),0)))</f>
        <v/>
      </c>
      <c r="E46" s="5">
        <f>IF(ISNUMBER(F46),IF(AND(J46="legacy",F46&lt;=DATE(2026,5,27)),DATE(2026,5,27),MAX(DATE(2026,5,27),(F46+7)+CHOOSE(WEEKDAY(F46+7,2),0,0,0,0,0,2,1))),IF(J46="legacy",DATE(2026,5,27),""))</f>
        <v/>
      </c>
      <c r="F46" s="5" t="n">
        <v>46056</v>
      </c>
      <c r="G46" s="2" t="inlineStr">
        <is>
          <t>88-2026</t>
        </is>
      </c>
      <c r="H46" s="2">
        <f>IFERROR(INDEX('iCoA Register'!$B:$B,MATCH("P060092|I",'iCoA Register'!$P:$P,0)),"—")</f>
        <v/>
      </c>
      <c r="I46" s="5">
        <f>IFERROR(INDEX('iCoA Register'!$D:$D,MATCH("P060092|I",'iCoA Register'!$P:$P,0)),"")</f>
        <v/>
      </c>
      <c r="J46" s="2" t="inlineStr">
        <is>
          <t>legacy</t>
        </is>
      </c>
      <c r="K46" s="2" t="inlineStr">
        <is>
          <t>initial release</t>
        </is>
      </c>
      <c r="L46" s="3" t="inlineStr">
        <is>
          <t>GP092501</t>
        </is>
      </c>
      <c r="M46" s="2" t="inlineStr">
        <is>
          <t>P060092</t>
        </is>
      </c>
      <c r="N46" s="2" t="inlineStr">
        <is>
          <t>Grape Pie</t>
        </is>
      </c>
      <c r="O46" s="2" t="inlineStr">
        <is>
          <t>ППК26009, (21.01.2026) [CNP]</t>
        </is>
      </c>
      <c r="P46" s="6" t="inlineStr">
        <is>
          <t>—</t>
        </is>
      </c>
      <c r="Q46" s="2" t="inlineStr">
        <is>
          <t>PP CoA #033 of 20.02.2026</t>
        </is>
      </c>
      <c r="R46" s="2" t="inlineStr">
        <is>
          <t>CoQ-PP-2026-0008</t>
        </is>
      </c>
      <c r="S46" s="2" t="inlineStr">
        <is>
          <t>P060092|I</t>
        </is>
      </c>
      <c r="T46" s="7" t="inlineStr">
        <is>
          <t>registered — legacy series, issued 27.05.2026</t>
        </is>
      </c>
    </row>
    <row r="47">
      <c r="A47" s="2">
        <f>IF(C47="yes",COUNT(A$1:A46)+1,"")</f>
        <v/>
      </c>
      <c r="B47" s="3">
        <f>IF(A47&lt;&gt;"","CoQ-PP_26-"&amp;TEXT(A47,"000"),"— at issue —")</f>
        <v/>
      </c>
      <c r="C47" s="4" t="inlineStr">
        <is>
          <t>yes</t>
        </is>
      </c>
      <c r="D47" s="5">
        <f>IF(A47="","",MAX(E47,IF(ISNUMBER(I47),I47,0),IFERROR(IF(ISNUMBER(INDEX('iCoA Register'!$F:$F,MATCH(S47,'iCoA Register'!$P:$P,0))),(INDEX('iCoA Register'!$F:$F,MATCH(S47,'iCoA Register'!$P:$P,0)))+CHOOSE(WEEKDAY(INDEX('iCoA Register'!$F:$F,MATCH(S47,'iCoA Register'!$P:$P,0)),2),0,0,0,0,0,2,1),0),0)))</f>
        <v/>
      </c>
      <c r="E47" s="5">
        <f>IF(ISNUMBER(F47),IF(AND(J47="legacy",F47&lt;=DATE(2026,5,27)),DATE(2026,5,27),MAX(DATE(2026,5,27),(F47+7)+CHOOSE(WEEKDAY(F47+7,2),0,0,0,0,0,2,1))),IF(J47="legacy",DATE(2026,5,27),""))</f>
        <v/>
      </c>
      <c r="F47" s="5" t="inlineStr">
        <is>
          <t>—</t>
        </is>
      </c>
      <c r="G47" s="2" t="inlineStr">
        <is>
          <t>—</t>
        </is>
      </c>
      <c r="H47" s="2">
        <f>IFERROR(INDEX('iCoA Register'!$B:$B,MATCH("P060102|I",'iCoA Register'!$P:$P,0)),"—")</f>
        <v/>
      </c>
      <c r="I47" s="5">
        <f>IFERROR(INDEX('iCoA Register'!$D:$D,MATCH("P060102|I",'iCoA Register'!$P:$P,0)),"")</f>
        <v/>
      </c>
      <c r="J47" s="2" t="inlineStr">
        <is>
          <t>legacy</t>
        </is>
      </c>
      <c r="K47" s="2" t="inlineStr">
        <is>
          <t>initial release</t>
        </is>
      </c>
      <c r="L47" s="3" t="inlineStr">
        <is>
          <t>WED102501 (from the list)</t>
        </is>
      </c>
      <c r="M47" s="2" t="inlineStr">
        <is>
          <t>P060102</t>
        </is>
      </c>
      <c r="N47" s="2" t="inlineStr">
        <is>
          <t>Wedding Cake</t>
        </is>
      </c>
      <c r="O47" s="6" t="inlineStr">
        <is>
          <t>— no cannabinoid certificate from the initial testing —</t>
        </is>
      </c>
      <c r="P47" s="6" t="inlineStr">
        <is>
          <t>—</t>
        </is>
      </c>
      <c r="Q47" s="2" t="inlineStr">
        <is>
          <t>—</t>
        </is>
      </c>
      <c r="R47" s="2" t="inlineStr">
        <is>
          <t>— not in the issuance plan —</t>
        </is>
      </c>
      <c r="S47" s="2" t="inlineStr">
        <is>
          <t>P060102|I</t>
        </is>
      </c>
      <c r="T47" s="7" t="inlineStr">
        <is>
          <t>registered — legacy series, issued 27.05.2026 · initial certificate to locate (CNP): #3, #4, #5, #6, #8, #9, #10, #11, #12</t>
        </is>
      </c>
    </row>
    <row r="48">
      <c r="A48" s="2">
        <f>IF(C48="yes",COUNT(A$1:A47)+1,"")</f>
        <v/>
      </c>
      <c r="B48" s="3">
        <f>IF(A48&lt;&gt;"","CoQ-PP_26-"&amp;TEXT(A48,"000"),"— at issue —")</f>
        <v/>
      </c>
      <c r="C48" s="4" t="inlineStr">
        <is>
          <t>yes</t>
        </is>
      </c>
      <c r="D48" s="5">
        <f>IF(A48="","",MAX(E48,IF(ISNUMBER(I48),I48,0),IFERROR(IF(ISNUMBER(INDEX('iCoA Register'!$F:$F,MATCH(S48,'iCoA Register'!$P:$P,0))),(INDEX('iCoA Register'!$F:$F,MATCH(S48,'iCoA Register'!$P:$P,0)))+CHOOSE(WEEKDAY(INDEX('iCoA Register'!$F:$F,MATCH(S48,'iCoA Register'!$P:$P,0)),2),0,0,0,0,0,2,1),0),0)))</f>
        <v/>
      </c>
      <c r="E48" s="5">
        <f>IF(ISNUMBER(F48),IF(AND(J48="legacy",F48&lt;=DATE(2026,5,27)),DATE(2026,5,27),MAX(DATE(2026,5,27),(F48+7)+CHOOSE(WEEKDAY(F48+7,2),0,0,0,0,0,2,1))),IF(J48="legacy",DATE(2026,5,27),""))</f>
        <v/>
      </c>
      <c r="F48" s="5" t="n">
        <v>46083</v>
      </c>
      <c r="G48" s="2" t="inlineStr">
        <is>
          <t>051-6-LoD-26</t>
        </is>
      </c>
      <c r="H48" s="2">
        <f>IFERROR(INDEX('iCoA Register'!$B:$B,MATCH("P060142|I",'iCoA Register'!$P:$P,0)),"—")</f>
        <v/>
      </c>
      <c r="I48" s="5">
        <f>IFERROR(INDEX('iCoA Register'!$D:$D,MATCH("P060142|I",'iCoA Register'!$P:$P,0)),"")</f>
        <v/>
      </c>
      <c r="J48" s="2" t="inlineStr">
        <is>
          <t>legacy</t>
        </is>
      </c>
      <c r="K48" s="2" t="inlineStr">
        <is>
          <t>initial release</t>
        </is>
      </c>
      <c r="L48" s="3" t="inlineStr">
        <is>
          <t>GRC102501</t>
        </is>
      </c>
      <c r="M48" s="2" t="inlineStr">
        <is>
          <t>P060142</t>
        </is>
      </c>
      <c r="N48" s="2" t="inlineStr">
        <is>
          <t>Graps &amp; Creme</t>
        </is>
      </c>
      <c r="O48" s="2" t="inlineStr">
        <is>
          <t>051-6-K-26, (04.03.2026) [FHM-K]</t>
        </is>
      </c>
      <c r="P48" s="6" t="inlineStr">
        <is>
          <t>—</t>
        </is>
      </c>
      <c r="Q48" s="2" t="inlineStr">
        <is>
          <t>—</t>
        </is>
      </c>
      <c r="R48" s="2" t="inlineStr">
        <is>
          <t>— not in the issuance plan —</t>
        </is>
      </c>
      <c r="S48" s="2" t="inlineStr">
        <is>
          <t>P060142|I</t>
        </is>
      </c>
      <c r="T48" s="7" t="inlineStr">
        <is>
          <t>registered — legacy series, issued 27.05.2026 · initial certificate to locate (CNP): #9, #10, #11, #12</t>
        </is>
      </c>
    </row>
    <row r="49">
      <c r="A49" s="2">
        <f>IF(C49="yes",COUNT(A$1:A48)+1,"")</f>
        <v/>
      </c>
      <c r="B49" s="3">
        <f>IF(A49&lt;&gt;"","CoQ-PP_26-"&amp;TEXT(A49,"000"),"— at issue —")</f>
        <v/>
      </c>
      <c r="C49" s="4" t="inlineStr">
        <is>
          <t>yes</t>
        </is>
      </c>
      <c r="D49" s="5">
        <f>IF(A49="","",MAX(E49,IF(ISNUMBER(I49),I49,0),IFERROR(IF(ISNUMBER(INDEX('iCoA Register'!$F:$F,MATCH(S49,'iCoA Register'!$P:$P,0))),(INDEX('iCoA Register'!$F:$F,MATCH(S49,'iCoA Register'!$P:$P,0)))+CHOOSE(WEEKDAY(INDEX('iCoA Register'!$F:$F,MATCH(S49,'iCoA Register'!$P:$P,0)),2),0,0,0,0,0,2,1),0),0)))</f>
        <v/>
      </c>
      <c r="E49" s="5">
        <f>IF(ISNUMBER(F49),IF(AND(J49="legacy",F49&lt;=DATE(2026,5,27)),DATE(2026,5,27),MAX(DATE(2026,5,27),(F49+7)+CHOOSE(WEEKDAY(F49+7,2),0,0,0,0,0,2,1))),IF(J49="legacy",DATE(2026,5,27),""))</f>
        <v/>
      </c>
      <c r="F49" s="5" t="n">
        <v>46083</v>
      </c>
      <c r="G49" s="2" t="inlineStr">
        <is>
          <t>051-1-LoD-26</t>
        </is>
      </c>
      <c r="H49" s="2">
        <f>IFERROR(INDEX('iCoA Register'!$B:$B,MATCH("P060152|I",'iCoA Register'!$P:$P,0)),"—")</f>
        <v/>
      </c>
      <c r="I49" s="5">
        <f>IFERROR(INDEX('iCoA Register'!$D:$D,MATCH("P060152|I",'iCoA Register'!$P:$P,0)),"")</f>
        <v/>
      </c>
      <c r="J49" s="2" t="inlineStr">
        <is>
          <t>legacy</t>
        </is>
      </c>
      <c r="K49" s="2" t="inlineStr">
        <is>
          <t>initial release</t>
        </is>
      </c>
      <c r="L49" s="3" t="inlineStr">
        <is>
          <t>J31102501</t>
        </is>
      </c>
      <c r="M49" s="2" t="inlineStr">
        <is>
          <t>P060152</t>
        </is>
      </c>
      <c r="N49" s="2" t="inlineStr">
        <is>
          <t>Jokerz 31</t>
        </is>
      </c>
      <c r="O49" s="2" t="inlineStr">
        <is>
          <t>051-1-K-26, (04.03.2026) [FHM-K]</t>
        </is>
      </c>
      <c r="P49" s="6" t="inlineStr">
        <is>
          <t>—</t>
        </is>
      </c>
      <c r="Q49" s="2" t="inlineStr">
        <is>
          <t>—</t>
        </is>
      </c>
      <c r="R49" s="2" t="inlineStr">
        <is>
          <t>CoQ-PP-2026-0012</t>
        </is>
      </c>
      <c r="S49" s="2" t="inlineStr">
        <is>
          <t>P060152|I</t>
        </is>
      </c>
      <c r="T49" s="7" t="inlineStr">
        <is>
          <t>registered — legacy series, issued 27.05.2026 · initial certificate to locate (CNP): #9, #10, #11, #12</t>
        </is>
      </c>
    </row>
    <row r="50">
      <c r="A50" s="2">
        <f>IF(C50="yes",COUNT(A$1:A49)+1,"")</f>
        <v/>
      </c>
      <c r="B50" s="3">
        <f>IF(A50&lt;&gt;"","CoQ-PP_26-"&amp;TEXT(A50,"000"),"— at issue —")</f>
        <v/>
      </c>
      <c r="C50" s="4" t="inlineStr">
        <is>
          <t>yes</t>
        </is>
      </c>
      <c r="D50" s="5">
        <f>IF(A50="","",MAX(E50,IF(ISNUMBER(I50),I50,0),IFERROR(IF(ISNUMBER(INDEX('iCoA Register'!$F:$F,MATCH(S50,'iCoA Register'!$P:$P,0))),(INDEX('iCoA Register'!$F:$F,MATCH(S50,'iCoA Register'!$P:$P,0)))+CHOOSE(WEEKDAY(INDEX('iCoA Register'!$F:$F,MATCH(S50,'iCoA Register'!$P:$P,0)),2),0,0,0,0,0,2,1),0),0)))</f>
        <v/>
      </c>
      <c r="E50" s="5">
        <f>IF(ISNUMBER(F50),IF(AND(J50="legacy",F50&lt;=DATE(2026,5,27)),DATE(2026,5,27),MAX(DATE(2026,5,27),(F50+7)+CHOOSE(WEEKDAY(F50+7,2),0,0,0,0,0,2,1))),IF(J50="legacy",DATE(2026,5,27),""))</f>
        <v/>
      </c>
      <c r="F50" s="5" t="n">
        <v>46083</v>
      </c>
      <c r="G50" s="2" t="inlineStr">
        <is>
          <t>051-3-LoD-26</t>
        </is>
      </c>
      <c r="H50" s="2">
        <f>IFERROR(INDEX('iCoA Register'!$B:$B,MATCH("P060162|I",'iCoA Register'!$P:$P,0)),"—")</f>
        <v/>
      </c>
      <c r="I50" s="5">
        <f>IFERROR(INDEX('iCoA Register'!$D:$D,MATCH("P060162|I",'iCoA Register'!$P:$P,0)),"")</f>
        <v/>
      </c>
      <c r="J50" s="2" t="inlineStr">
        <is>
          <t>legacy</t>
        </is>
      </c>
      <c r="K50" s="2" t="inlineStr">
        <is>
          <t>initial release</t>
        </is>
      </c>
      <c r="L50" s="3" t="inlineStr">
        <is>
          <t>SJ102501</t>
        </is>
      </c>
      <c r="M50" s="2" t="inlineStr">
        <is>
          <t>P060162</t>
        </is>
      </c>
      <c r="N50" s="2" t="inlineStr">
        <is>
          <t>Sleepy Joe</t>
        </is>
      </c>
      <c r="O50" s="2" t="inlineStr">
        <is>
          <t>051-3-K-26, (04.03.2026) [FHM-K]</t>
        </is>
      </c>
      <c r="P50" s="6" t="inlineStr">
        <is>
          <t>—</t>
        </is>
      </c>
      <c r="Q50" s="2" t="inlineStr">
        <is>
          <t>—</t>
        </is>
      </c>
      <c r="R50" s="2" t="inlineStr">
        <is>
          <t>(assigned on issue)</t>
        </is>
      </c>
      <c r="S50" s="2" t="inlineStr">
        <is>
          <t>P060162|I</t>
        </is>
      </c>
      <c r="T50" s="7" t="inlineStr">
        <is>
          <t>registered — legacy series, issued 27.05.2026 · initial certificate to locate (CNP): #9, #10, #11, #12</t>
        </is>
      </c>
    </row>
    <row r="51">
      <c r="A51" s="2">
        <f>IF(C51="yes",COUNT(A$1:A50)+1,"")</f>
        <v/>
      </c>
      <c r="B51" s="3">
        <f>IF(A51&lt;&gt;"","CoQ-PP_26-"&amp;TEXT(A51,"000"),"— at issue —")</f>
        <v/>
      </c>
      <c r="C51" s="4" t="inlineStr">
        <is>
          <t>yes</t>
        </is>
      </c>
      <c r="D51" s="5">
        <f>IF(A51="","",MAX(E51,IF(ISNUMBER(I51),I51,0),IFERROR(IF(ISNUMBER(INDEX('iCoA Register'!$F:$F,MATCH(S51,'iCoA Register'!$P:$P,0))),(INDEX('iCoA Register'!$F:$F,MATCH(S51,'iCoA Register'!$P:$P,0)))+CHOOSE(WEEKDAY(INDEX('iCoA Register'!$F:$F,MATCH(S51,'iCoA Register'!$P:$P,0)),2),0,0,0,0,0,2,1),0),0)))</f>
        <v/>
      </c>
      <c r="E51" s="5">
        <f>IF(ISNUMBER(F51),IF(AND(J51="legacy",F51&lt;=DATE(2026,5,27)),DATE(2026,5,27),MAX(DATE(2026,5,27),(F51+7)+CHOOSE(WEEKDAY(F51+7,2),0,0,0,0,0,2,1))),IF(J51="legacy",DATE(2026,5,27),""))</f>
        <v/>
      </c>
      <c r="F51" s="5" t="n">
        <v>46083</v>
      </c>
      <c r="G51" s="2" t="inlineStr">
        <is>
          <t>051-4-LoD-26</t>
        </is>
      </c>
      <c r="H51" s="2">
        <f>IFERROR(INDEX('iCoA Register'!$B:$B,MATCH("P060172|I",'iCoA Register'!$P:$P,0)),"—")</f>
        <v/>
      </c>
      <c r="I51" s="5">
        <f>IFERROR(INDEX('iCoA Register'!$D:$D,MATCH("P060172|I",'iCoA Register'!$P:$P,0)),"")</f>
        <v/>
      </c>
      <c r="J51" s="2" t="inlineStr">
        <is>
          <t>legacy</t>
        </is>
      </c>
      <c r="K51" s="2" t="inlineStr">
        <is>
          <t>initial release</t>
        </is>
      </c>
      <c r="L51" s="3" t="inlineStr">
        <is>
          <t>KC102501</t>
        </is>
      </c>
      <c r="M51" s="2" t="inlineStr">
        <is>
          <t>P060172</t>
        </is>
      </c>
      <c r="N51" s="2" t="inlineStr">
        <is>
          <t>Kush Crasher</t>
        </is>
      </c>
      <c r="O51" s="2" t="inlineStr">
        <is>
          <t>051-4-K-26, (04.03.2026) [FHM-K]</t>
        </is>
      </c>
      <c r="P51" s="6" t="inlineStr">
        <is>
          <t>—</t>
        </is>
      </c>
      <c r="Q51" s="2" t="inlineStr">
        <is>
          <t>—</t>
        </is>
      </c>
      <c r="R51" s="2" t="inlineStr">
        <is>
          <t>CoQ-PP-2026-0013</t>
        </is>
      </c>
      <c r="S51" s="2" t="inlineStr">
        <is>
          <t>P060172|I</t>
        </is>
      </c>
      <c r="T51" s="7" t="inlineStr">
        <is>
          <t>registered — legacy series, issued 27.05.2026 · initial certificate to locate (CNP): #9, #10, #11, #12</t>
        </is>
      </c>
    </row>
    <row r="52">
      <c r="A52" s="2">
        <f>IF(C52="yes",COUNT(A$1:A51)+1,"")</f>
        <v/>
      </c>
      <c r="B52" s="3">
        <f>IF(A52&lt;&gt;"","CoQ-PP_26-"&amp;TEXT(A52,"000"),"— at issue —")</f>
        <v/>
      </c>
      <c r="C52" s="4" t="inlineStr">
        <is>
          <t>yes</t>
        </is>
      </c>
      <c r="D52" s="5">
        <f>IF(A52="","",MAX(E52,IF(ISNUMBER(I52),I52,0),IFERROR(IF(ISNUMBER(INDEX('iCoA Register'!$F:$F,MATCH(S52,'iCoA Register'!$P:$P,0))),(INDEX('iCoA Register'!$F:$F,MATCH(S52,'iCoA Register'!$P:$P,0)))+CHOOSE(WEEKDAY(INDEX('iCoA Register'!$F:$F,MATCH(S52,'iCoA Register'!$P:$P,0)),2),0,0,0,0,0,2,1),0),0)))</f>
        <v/>
      </c>
      <c r="E52" s="5">
        <f>IF(ISNUMBER(F52),IF(AND(J52="legacy",F52&lt;=DATE(2026,5,27)),DATE(2026,5,27),MAX(DATE(2026,5,27),(F52+7)+CHOOSE(WEEKDAY(F52+7,2),0,0,0,0,0,2,1))),IF(J52="legacy",DATE(2026,5,27),""))</f>
        <v/>
      </c>
      <c r="F52" s="5" t="n">
        <v>46083</v>
      </c>
      <c r="G52" s="2" t="inlineStr">
        <is>
          <t>051-6-LoD-26</t>
        </is>
      </c>
      <c r="H52" s="2">
        <f>IFERROR(INDEX('iCoA Register'!$B:$B,MATCH("P060182|I",'iCoA Register'!$P:$P,0)),"—")</f>
        <v/>
      </c>
      <c r="I52" s="5">
        <f>IFERROR(INDEX('iCoA Register'!$D:$D,MATCH("P060182|I",'iCoA Register'!$P:$P,0)),"")</f>
        <v/>
      </c>
      <c r="J52" s="2" t="inlineStr">
        <is>
          <t>legacy</t>
        </is>
      </c>
      <c r="K52" s="2" t="inlineStr">
        <is>
          <t>initial release</t>
        </is>
      </c>
      <c r="L52" s="3" t="inlineStr">
        <is>
          <t>GRC102501</t>
        </is>
      </c>
      <c r="M52" s="2" t="inlineStr">
        <is>
          <t>P060182</t>
        </is>
      </c>
      <c r="N52" s="2" t="inlineStr">
        <is>
          <t>Graps &amp; Creme</t>
        </is>
      </c>
      <c r="O52" s="2" t="inlineStr">
        <is>
          <t>051-6-K-26, (04.03.2026) [FHM-K]</t>
        </is>
      </c>
      <c r="P52" s="6" t="inlineStr">
        <is>
          <t>—</t>
        </is>
      </c>
      <c r="Q52" s="2" t="inlineStr">
        <is>
          <t>—</t>
        </is>
      </c>
      <c r="R52" s="2" t="inlineStr">
        <is>
          <t>CoQ-PP-2026-0014</t>
        </is>
      </c>
      <c r="S52" s="2" t="inlineStr">
        <is>
          <t>P060182|I</t>
        </is>
      </c>
      <c r="T52" s="7" t="inlineStr">
        <is>
          <t>registered — legacy series, issued 27.05.2026 · initial certificate to locate (CNP): #9, #10, #11, #12</t>
        </is>
      </c>
    </row>
    <row r="53">
      <c r="A53" s="2">
        <f>IF(C53="yes",COUNT(A$1:A52)+1,"")</f>
        <v/>
      </c>
      <c r="B53" s="3">
        <f>IF(A53&lt;&gt;"","CoQ-PP_26-"&amp;TEXT(A53,"000"),"— at issue —")</f>
        <v/>
      </c>
      <c r="C53" s="4" t="inlineStr">
        <is>
          <t>yes</t>
        </is>
      </c>
      <c r="D53" s="5">
        <f>IF(A53="","",MAX(E53,IF(ISNUMBER(I53),I53,0),IFERROR(IF(ISNUMBER(INDEX('iCoA Register'!$F:$F,MATCH(S53,'iCoA Register'!$P:$P,0))),(INDEX('iCoA Register'!$F:$F,MATCH(S53,'iCoA Register'!$P:$P,0)))+CHOOSE(WEEKDAY(INDEX('iCoA Register'!$F:$F,MATCH(S53,'iCoA Register'!$P:$P,0)),2),0,0,0,0,0,2,1),0),0)))</f>
        <v/>
      </c>
      <c r="E53" s="5">
        <f>IF(ISNUMBER(F53),IF(AND(J53="legacy",F53&lt;=DATE(2026,5,27)),DATE(2026,5,27),MAX(DATE(2026,5,27),(F53+7)+CHOOSE(WEEKDAY(F53+7,2),0,0,0,0,0,2,1))),IF(J53="legacy",DATE(2026,5,27),""))</f>
        <v/>
      </c>
      <c r="F53" s="5" t="n">
        <v>46083</v>
      </c>
      <c r="G53" s="2" t="inlineStr">
        <is>
          <t>051-2-LoD-26</t>
        </is>
      </c>
      <c r="H53" s="2">
        <f>IFERROR(INDEX('iCoA Register'!$B:$B,MATCH("P060192|I",'iCoA Register'!$P:$P,0)),"—")</f>
        <v/>
      </c>
      <c r="I53" s="5">
        <f>IFERROR(INDEX('iCoA Register'!$D:$D,MATCH("P060192|I",'iCoA Register'!$P:$P,0)),"")</f>
        <v/>
      </c>
      <c r="J53" s="2" t="inlineStr">
        <is>
          <t>legacy</t>
        </is>
      </c>
      <c r="K53" s="2" t="inlineStr">
        <is>
          <t>initial release</t>
        </is>
      </c>
      <c r="L53" s="3" t="inlineStr">
        <is>
          <t>SJ112501</t>
        </is>
      </c>
      <c r="M53" s="2" t="inlineStr">
        <is>
          <t>P060192</t>
        </is>
      </c>
      <c r="N53" s="2" t="inlineStr">
        <is>
          <t>Sleepy Joy</t>
        </is>
      </c>
      <c r="O53" s="2" t="inlineStr">
        <is>
          <t>051-2-K-26, (04.03.2026) [FHM-K]</t>
        </is>
      </c>
      <c r="P53" s="6" t="inlineStr">
        <is>
          <t>—</t>
        </is>
      </c>
      <c r="Q53" s="2" t="inlineStr">
        <is>
          <t>—</t>
        </is>
      </c>
      <c r="R53" s="2" t="inlineStr">
        <is>
          <t>(assigned on issue)</t>
        </is>
      </c>
      <c r="S53" s="2" t="inlineStr">
        <is>
          <t>P060192|I</t>
        </is>
      </c>
      <c r="T53" s="7" t="inlineStr">
        <is>
          <t>registered — legacy series, issued 27.05.2026 · initial certificate to locate (CNP): #9, #10, #11, #12</t>
        </is>
      </c>
    </row>
    <row r="54">
      <c r="A54" s="2">
        <f>IF(C54="yes",COUNT(A$1:A53)+1,"")</f>
        <v/>
      </c>
      <c r="B54" s="3">
        <f>IF(A54&lt;&gt;"","CoQ-PP_26-"&amp;TEXT(A54,"000"),"— at issue —")</f>
        <v/>
      </c>
      <c r="C54" s="4" t="inlineStr">
        <is>
          <t>yes</t>
        </is>
      </c>
      <c r="D54" s="5">
        <f>IF(A54="","",MAX(E54,IF(ISNUMBER(I54),I54,0),IFERROR(IF(ISNUMBER(INDEX('iCoA Register'!$F:$F,MATCH(S54,'iCoA Register'!$P:$P,0))),(INDEX('iCoA Register'!$F:$F,MATCH(S54,'iCoA Register'!$P:$P,0)))+CHOOSE(WEEKDAY(INDEX('iCoA Register'!$F:$F,MATCH(S54,'iCoA Register'!$P:$P,0)),2),0,0,0,0,0,2,1),0),0)))</f>
        <v/>
      </c>
      <c r="E54" s="5">
        <f>IF(ISNUMBER(F54),IF(AND(J54="legacy",F54&lt;=DATE(2026,5,27)),DATE(2026,5,27),MAX(DATE(2026,5,27),(F54+7)+CHOOSE(WEEKDAY(F54+7,2),0,0,0,0,0,2,1))),IF(J54="legacy",DATE(2026,5,27),""))</f>
        <v/>
      </c>
      <c r="F54" s="5" t="n">
        <v>46083</v>
      </c>
      <c r="G54" s="2" t="inlineStr">
        <is>
          <t>051-5-LoD-26</t>
        </is>
      </c>
      <c r="H54" s="2">
        <f>IFERROR(INDEX('iCoA Register'!$B:$B,MATCH("P060202|I",'iCoA Register'!$P:$P,0)),"—")</f>
        <v/>
      </c>
      <c r="I54" s="5">
        <f>IFERROR(INDEX('iCoA Register'!$D:$D,MATCH("P060202|I",'iCoA Register'!$P:$P,0)),"")</f>
        <v/>
      </c>
      <c r="J54" s="2" t="inlineStr">
        <is>
          <t>legacy</t>
        </is>
      </c>
      <c r="K54" s="2" t="inlineStr">
        <is>
          <t>initial release</t>
        </is>
      </c>
      <c r="L54" s="3" t="inlineStr">
        <is>
          <t>J31112501</t>
        </is>
      </c>
      <c r="M54" s="2" t="inlineStr">
        <is>
          <t>P060202</t>
        </is>
      </c>
      <c r="N54" s="2" t="inlineStr">
        <is>
          <t>Jokerz 31</t>
        </is>
      </c>
      <c r="O54" s="2" t="inlineStr">
        <is>
          <t>051-5-K-26, (04.03.2026) [FHM-K]</t>
        </is>
      </c>
      <c r="P54" s="6" t="inlineStr">
        <is>
          <t>—</t>
        </is>
      </c>
      <c r="Q54" s="2" t="inlineStr">
        <is>
          <t>—</t>
        </is>
      </c>
      <c r="R54" s="2" t="inlineStr">
        <is>
          <t>(assigned on issue)</t>
        </is>
      </c>
      <c r="S54" s="2" t="inlineStr">
        <is>
          <t>P060202|I</t>
        </is>
      </c>
      <c r="T54" s="7" t="inlineStr">
        <is>
          <t>registered — legacy series, issued 27.05.2026 · initial certificate to locate (CNP): #9, #10, #11, #12</t>
        </is>
      </c>
    </row>
    <row r="55">
      <c r="A55" s="2">
        <f>IF(C55="yes",COUNT(A$1:A54)+1,"")</f>
        <v/>
      </c>
      <c r="B55" s="3">
        <f>IF(A55&lt;&gt;"","CoQ-PP_26-"&amp;TEXT(A55,"000"),"— at issue —")</f>
        <v/>
      </c>
      <c r="C55" s="4" t="inlineStr">
        <is>
          <t>yes</t>
        </is>
      </c>
      <c r="D55" s="5">
        <f>IF(A55="","",MAX(E55,IF(ISNUMBER(I55),I55,0),IFERROR(IF(ISNUMBER(INDEX('iCoA Register'!$F:$F,MATCH(S55,'iCoA Register'!$P:$P,0))),(INDEX('iCoA Register'!$F:$F,MATCH(S55,'iCoA Register'!$P:$P,0)))+CHOOSE(WEEKDAY(INDEX('iCoA Register'!$F:$F,MATCH(S55,'iCoA Register'!$P:$P,0)),2),0,0,0,0,0,2,1),0),0)))</f>
        <v/>
      </c>
      <c r="E55" s="5">
        <f>IF(ISNUMBER(F55),IF(AND(J55="legacy",F55&lt;=DATE(2026,5,27)),DATE(2026,5,27),MAX(DATE(2026,5,27),(F55+7)+CHOOSE(WEEKDAY(F55+7,2),0,0,0,0,0,2,1))),IF(J55="legacy",DATE(2026,5,27),""))</f>
        <v/>
      </c>
      <c r="F55" s="5" t="n">
        <v>46153</v>
      </c>
      <c r="G55" s="2" t="inlineStr">
        <is>
          <t>ППК26063</t>
        </is>
      </c>
      <c r="H55" s="2">
        <f>IFERROR(INDEX('iCoA Register'!$B:$B,MATCH("P060212|I",'iCoA Register'!$P:$P,0)),"—")</f>
        <v/>
      </c>
      <c r="I55" s="5">
        <f>IFERROR(INDEX('iCoA Register'!$D:$D,MATCH("P060212|I",'iCoA Register'!$P:$P,0)),"")</f>
        <v/>
      </c>
      <c r="J55" s="2" t="inlineStr">
        <is>
          <t>legacy</t>
        </is>
      </c>
      <c r="K55" s="2" t="inlineStr">
        <is>
          <t>initial release</t>
        </is>
      </c>
      <c r="L55" s="3" t="inlineStr">
        <is>
          <t>JD112501</t>
        </is>
      </c>
      <c r="M55" s="2" t="inlineStr">
        <is>
          <t>P060212</t>
        </is>
      </c>
      <c r="N55" s="2" t="inlineStr">
        <is>
          <t>Jelly Donutz</t>
        </is>
      </c>
      <c r="O55" s="2" t="inlineStr">
        <is>
          <t>ППК26063, (11.05.2026) [CNP]</t>
        </is>
      </c>
      <c r="P55" s="6" t="inlineStr">
        <is>
          <t>—</t>
        </is>
      </c>
      <c r="Q55" s="2" t="inlineStr">
        <is>
          <t>—</t>
        </is>
      </c>
      <c r="R55" s="2" t="inlineStr">
        <is>
          <t>CoQ-PP-2026-0015</t>
        </is>
      </c>
      <c r="S55" s="2" t="inlineStr">
        <is>
          <t>P060212|I</t>
        </is>
      </c>
      <c r="T55" s="7" t="inlineStr">
        <is>
          <t>registered — legacy series, issued 27.05.2026</t>
        </is>
      </c>
    </row>
    <row r="56">
      <c r="A56" s="2">
        <f>IF(C56="yes",COUNT(A$1:A55)+1,"")</f>
        <v/>
      </c>
      <c r="B56" s="3">
        <f>IF(A56&lt;&gt;"","CoQ-PP_26-"&amp;TEXT(A56,"000"),"— at issue —")</f>
        <v/>
      </c>
      <c r="C56" s="4" t="inlineStr">
        <is>
          <t>yes</t>
        </is>
      </c>
      <c r="D56" s="5">
        <f>IF(A56="","",MAX(E56,IF(ISNUMBER(I56),I56,0),IFERROR(IF(ISNUMBER(INDEX('iCoA Register'!$F:$F,MATCH(S56,'iCoA Register'!$P:$P,0))),(INDEX('iCoA Register'!$F:$F,MATCH(S56,'iCoA Register'!$P:$P,0)))+CHOOSE(WEEKDAY(INDEX('iCoA Register'!$F:$F,MATCH(S56,'iCoA Register'!$P:$P,0)),2),0,0,0,0,0,2,1),0),0)))</f>
        <v/>
      </c>
      <c r="E56" s="5">
        <f>IF(ISNUMBER(F56),IF(AND(J56="legacy",F56&lt;=DATE(2026,5,27)),DATE(2026,5,27),MAX(DATE(2026,5,27),(F56+7)+CHOOSE(WEEKDAY(F56+7,2),0,0,0,0,0,2,1))),IF(J56="legacy",DATE(2026,5,27),""))</f>
        <v/>
      </c>
      <c r="F56" s="5" t="n">
        <v>46153</v>
      </c>
      <c r="G56" s="2" t="inlineStr">
        <is>
          <t>ППК26065</t>
        </is>
      </c>
      <c r="H56" s="2">
        <f>IFERROR(INDEX('iCoA Register'!$B:$B,MATCH("JD112501|I",'iCoA Register'!$P:$P,0)),"—")</f>
        <v/>
      </c>
      <c r="I56" s="5">
        <f>IFERROR(INDEX('iCoA Register'!$D:$D,MATCH("JD112501|I",'iCoA Register'!$P:$P,0)),"")</f>
        <v/>
      </c>
      <c r="J56" s="2" t="inlineStr">
        <is>
          <t>legacy</t>
        </is>
      </c>
      <c r="K56" s="2" t="inlineStr">
        <is>
          <t>initial release</t>
        </is>
      </c>
      <c r="L56" s="3" t="inlineStr">
        <is>
          <t>JD112501＊</t>
        </is>
      </c>
      <c r="M56" s="2" t="inlineStr">
        <is>
          <t>P060212</t>
        </is>
      </c>
      <c r="N56" s="2" t="inlineStr">
        <is>
          <t>Jelly Donutz</t>
        </is>
      </c>
      <c r="O56" s="2" t="inlineStr">
        <is>
          <t>ППК26065, (11.05.2026) [CNP]</t>
        </is>
      </c>
      <c r="P56" s="6" t="inlineStr">
        <is>
          <t>—</t>
        </is>
      </c>
      <c r="Q56" s="2" t="inlineStr">
        <is>
          <t>—</t>
        </is>
      </c>
      <c r="R56" s="2" t="inlineStr">
        <is>
          <t>CoQ-PP-2026-0015</t>
        </is>
      </c>
      <c r="S56" s="2" t="inlineStr">
        <is>
          <t>JD112501|I</t>
        </is>
      </c>
      <c r="T56" s="7" t="inlineStr">
        <is>
          <t>registered — legacy series, issued 27.05.2026</t>
        </is>
      </c>
    </row>
    <row r="57">
      <c r="A57" s="2">
        <f>IF(C57="yes",COUNT(A$1:A56)+1,"")</f>
        <v/>
      </c>
      <c r="B57" s="3">
        <f>IF(A57&lt;&gt;"","CoQ-PP_26-"&amp;TEXT(A57,"000"),"— at issue —")</f>
        <v/>
      </c>
      <c r="C57" s="4" t="inlineStr">
        <is>
          <t>yes</t>
        </is>
      </c>
      <c r="D57" s="5">
        <f>IF(A57="","",MAX(E57,IF(ISNUMBER(I57),I57,0),IFERROR(IF(ISNUMBER(INDEX('iCoA Register'!$F:$F,MATCH(S57,'iCoA Register'!$P:$P,0))),(INDEX('iCoA Register'!$F:$F,MATCH(S57,'iCoA Register'!$P:$P,0)))+CHOOSE(WEEKDAY(INDEX('iCoA Register'!$F:$F,MATCH(S57,'iCoA Register'!$P:$P,0)),2),0,0,0,0,0,2,1),0),0)))</f>
        <v/>
      </c>
      <c r="E57" s="5">
        <f>IF(ISNUMBER(F57),IF(AND(J57="legacy",F57&lt;=DATE(2026,5,27)),DATE(2026,5,27),MAX(DATE(2026,5,27),(F57+7)+CHOOSE(WEEKDAY(F57+7,2),0,0,0,0,0,2,1))),IF(J57="legacy",DATE(2026,5,27),""))</f>
        <v/>
      </c>
      <c r="F57" s="5" t="n">
        <v>46086</v>
      </c>
      <c r="G57" s="2" t="inlineStr">
        <is>
          <t>ППК26031</t>
        </is>
      </c>
      <c r="H57" s="2">
        <f>IFERROR(INDEX('iCoA Register'!$B:$B,MATCH("P060222|I",'iCoA Register'!$P:$P,0)),"—")</f>
        <v/>
      </c>
      <c r="I57" s="5">
        <f>IFERROR(INDEX('iCoA Register'!$D:$D,MATCH("P060222|I",'iCoA Register'!$P:$P,0)),"")</f>
        <v/>
      </c>
      <c r="J57" s="2" t="inlineStr">
        <is>
          <t>legacy</t>
        </is>
      </c>
      <c r="K57" s="2" t="inlineStr">
        <is>
          <t>initial release</t>
        </is>
      </c>
      <c r="L57" s="3" t="inlineStr">
        <is>
          <t>OPM112501</t>
        </is>
      </c>
      <c r="M57" s="2" t="inlineStr">
        <is>
          <t>P060222</t>
        </is>
      </c>
      <c r="N57" s="2" t="inlineStr">
        <is>
          <t>Orange Punch Mimosa</t>
        </is>
      </c>
      <c r="O57" s="2" t="inlineStr">
        <is>
          <t>ППК26031, (05.03.2026) [CNP]</t>
        </is>
      </c>
      <c r="P57" s="6" t="inlineStr">
        <is>
          <t>—</t>
        </is>
      </c>
      <c r="Q57" s="2" t="inlineStr">
        <is>
          <t>—</t>
        </is>
      </c>
      <c r="R57" s="2" t="inlineStr">
        <is>
          <t>(assigned on issue)</t>
        </is>
      </c>
      <c r="S57" s="2" t="inlineStr">
        <is>
          <t>P060222|I</t>
        </is>
      </c>
      <c r="T57" s="7" t="inlineStr">
        <is>
          <t>registered — legacy series, issued 27.05.2026 · initial certificate to locate (CNP): #9, #10, #11, #12</t>
        </is>
      </c>
    </row>
    <row r="58">
      <c r="A58" s="2">
        <f>IF(C58="yes",COUNT(A$1:A57)+1,"")</f>
        <v/>
      </c>
      <c r="B58" s="3">
        <f>IF(A58&lt;&gt;"","CoQ-PP_26-"&amp;TEXT(A58,"000"),"— at issue —")</f>
        <v/>
      </c>
      <c r="C58" s="4" t="inlineStr">
        <is>
          <t>yes</t>
        </is>
      </c>
      <c r="D58" s="5">
        <f>IF(A58="","",MAX(E58,IF(ISNUMBER(I58),I58,0),IFERROR(IF(ISNUMBER(INDEX('iCoA Register'!$F:$F,MATCH(S58,'iCoA Register'!$P:$P,0))),(INDEX('iCoA Register'!$F:$F,MATCH(S58,'iCoA Register'!$P:$P,0)))+CHOOSE(WEEKDAY(INDEX('iCoA Register'!$F:$F,MATCH(S58,'iCoA Register'!$P:$P,0)),2),0,0,0,0,0,2,1),0),0)))</f>
        <v/>
      </c>
      <c r="E58" s="5">
        <f>IF(ISNUMBER(F58),IF(AND(J58="legacy",F58&lt;=DATE(2026,5,27)),DATE(2026,5,27),MAX(DATE(2026,5,27),(F58+7)+CHOOSE(WEEKDAY(F58+7,2),0,0,0,0,0,2,1))),IF(J58="legacy",DATE(2026,5,27),""))</f>
        <v/>
      </c>
      <c r="F58" s="5" t="n">
        <v>46086</v>
      </c>
      <c r="G58" s="2" t="inlineStr">
        <is>
          <t>ППК26030</t>
        </is>
      </c>
      <c r="H58" s="2">
        <f>IFERROR(INDEX('iCoA Register'!$B:$B,MATCH("P060232|I",'iCoA Register'!$P:$P,0)),"—")</f>
        <v/>
      </c>
      <c r="I58" s="5">
        <f>IFERROR(INDEX('iCoA Register'!$D:$D,MATCH("P060232|I",'iCoA Register'!$P:$P,0)),"")</f>
        <v/>
      </c>
      <c r="J58" s="2" t="inlineStr">
        <is>
          <t>legacy</t>
        </is>
      </c>
      <c r="K58" s="2" t="inlineStr">
        <is>
          <t>initial release</t>
        </is>
      </c>
      <c r="L58" s="3" t="inlineStr">
        <is>
          <t>PM112501</t>
        </is>
      </c>
      <c r="M58" s="2" t="inlineStr">
        <is>
          <t>P060232</t>
        </is>
      </c>
      <c r="N58" s="2" t="inlineStr">
        <is>
          <t>Permanent Market</t>
        </is>
      </c>
      <c r="O58" s="2" t="inlineStr">
        <is>
          <t>ППК26030, (05.03.2026) [CNP]</t>
        </is>
      </c>
      <c r="P58" s="6" t="inlineStr">
        <is>
          <t>—</t>
        </is>
      </c>
      <c r="Q58" s="2" t="inlineStr">
        <is>
          <t>—</t>
        </is>
      </c>
      <c r="R58" s="2" t="inlineStr">
        <is>
          <t>CoQ-PP-2026-0016</t>
        </is>
      </c>
      <c r="S58" s="2" t="inlineStr">
        <is>
          <t>P060232|I</t>
        </is>
      </c>
      <c r="T58" s="7" t="inlineStr">
        <is>
          <t>registered — legacy series, issued 27.05.2026 · initial certificate to locate (CNP): #9, #10, #11, #12</t>
        </is>
      </c>
    </row>
    <row r="59">
      <c r="A59" s="2">
        <f>IF(C59="yes",COUNT(A$1:A58)+1,"")</f>
        <v/>
      </c>
      <c r="B59" s="3">
        <f>IF(A59&lt;&gt;"","CoQ-PP_26-"&amp;TEXT(A59,"000"),"— at issue —")</f>
        <v/>
      </c>
      <c r="C59" s="4" t="inlineStr">
        <is>
          <t>yes</t>
        </is>
      </c>
      <c r="D59" s="5">
        <f>IF(A59="","",MAX(E59,IF(ISNUMBER(I59),I59,0),IFERROR(IF(ISNUMBER(INDEX('iCoA Register'!$F:$F,MATCH(S59,'iCoA Register'!$P:$P,0))),(INDEX('iCoA Register'!$F:$F,MATCH(S59,'iCoA Register'!$P:$P,0)))+CHOOSE(WEEKDAY(INDEX('iCoA Register'!$F:$F,MATCH(S59,'iCoA Register'!$P:$P,0)),2),0,0,0,0,0,2,1),0),0)))</f>
        <v/>
      </c>
      <c r="E59" s="5">
        <f>IF(ISNUMBER(F59),IF(AND(J59="legacy",F59&lt;=DATE(2026,5,27)),DATE(2026,5,27),MAX(DATE(2026,5,27),(F59+7)+CHOOSE(WEEKDAY(F59+7,2),0,0,0,0,0,2,1))),IF(J59="legacy",DATE(2026,5,27),""))</f>
        <v/>
      </c>
      <c r="F59" s="5" t="n">
        <v>46135</v>
      </c>
      <c r="G59" s="2" t="inlineStr">
        <is>
          <t>1627-2026</t>
        </is>
      </c>
      <c r="H59" s="2">
        <f>IFERROR(INDEX('iCoA Register'!$B:$B,MATCH("P060242|I",'iCoA Register'!$P:$P,0)),"—")</f>
        <v/>
      </c>
      <c r="I59" s="5">
        <f>IFERROR(INDEX('iCoA Register'!$D:$D,MATCH("P060242|I",'iCoA Register'!$P:$P,0)),"")</f>
        <v/>
      </c>
      <c r="J59" s="2" t="inlineStr">
        <is>
          <t>legacy</t>
        </is>
      </c>
      <c r="K59" s="2" t="inlineStr">
        <is>
          <t>initial release</t>
        </is>
      </c>
      <c r="L59" s="3" t="inlineStr">
        <is>
          <t>OPM122501</t>
        </is>
      </c>
      <c r="M59" s="2" t="inlineStr">
        <is>
          <t>P060242</t>
        </is>
      </c>
      <c r="N59" s="2" t="inlineStr">
        <is>
          <t>Orange Punch Mimosa</t>
        </is>
      </c>
      <c r="O59" s="2" t="inlineStr">
        <is>
          <t>100-4-K-26, (09.04.2026) [FHM-K]</t>
        </is>
      </c>
      <c r="P59" s="6" t="inlineStr">
        <is>
          <t>—</t>
        </is>
      </c>
      <c r="Q59" s="2" t="inlineStr">
        <is>
          <t>—</t>
        </is>
      </c>
      <c r="R59" s="2" t="inlineStr">
        <is>
          <t>CoQ-PP-2026-0017</t>
        </is>
      </c>
      <c r="S59" s="2" t="inlineStr">
        <is>
          <t>P060242|I</t>
        </is>
      </c>
      <c r="T59" s="7" t="inlineStr">
        <is>
          <t>registered — legacy series, issued 27.05.2026</t>
        </is>
      </c>
    </row>
    <row r="60">
      <c r="A60" s="2">
        <f>IF(C60="yes",COUNT(A$1:A59)+1,"")</f>
        <v/>
      </c>
      <c r="B60" s="3">
        <f>IF(A60&lt;&gt;"","CoQ-PP_26-"&amp;TEXT(A60,"000"),"— at issue —")</f>
        <v/>
      </c>
      <c r="C60" s="4" t="inlineStr">
        <is>
          <t>yes</t>
        </is>
      </c>
      <c r="D60" s="5">
        <f>IF(A60="","",MAX(E60,IF(ISNUMBER(I60),I60,0),IFERROR(IF(ISNUMBER(INDEX('iCoA Register'!$F:$F,MATCH(S60,'iCoA Register'!$P:$P,0))),(INDEX('iCoA Register'!$F:$F,MATCH(S60,'iCoA Register'!$P:$P,0)))+CHOOSE(WEEKDAY(INDEX('iCoA Register'!$F:$F,MATCH(S60,'iCoA Register'!$P:$P,0)),2),0,0,0,0,0,2,1),0),0)))</f>
        <v/>
      </c>
      <c r="E60" s="5">
        <f>IF(ISNUMBER(F60),IF(AND(J60="legacy",F60&lt;=DATE(2026,5,27)),DATE(2026,5,27),MAX(DATE(2026,5,27),(F60+7)+CHOOSE(WEEKDAY(F60+7,2),0,0,0,0,0,2,1))),IF(J60="legacy",DATE(2026,5,27),""))</f>
        <v/>
      </c>
      <c r="F60" s="5" t="n">
        <v>46153</v>
      </c>
      <c r="G60" s="2" t="inlineStr">
        <is>
          <t>ППК26061</t>
        </is>
      </c>
      <c r="H60" s="2">
        <f>IFERROR(INDEX('iCoA Register'!$B:$B,MATCH("P060252|I",'iCoA Register'!$P:$P,0)),"—")</f>
        <v/>
      </c>
      <c r="I60" s="5">
        <f>IFERROR(INDEX('iCoA Register'!$D:$D,MATCH("P060252|I",'iCoA Register'!$P:$P,0)),"")</f>
        <v/>
      </c>
      <c r="J60" s="2" t="inlineStr">
        <is>
          <t>legacy</t>
        </is>
      </c>
      <c r="K60" s="2" t="inlineStr">
        <is>
          <t>initial release</t>
        </is>
      </c>
      <c r="L60" s="3" t="inlineStr">
        <is>
          <t>GG112501</t>
        </is>
      </c>
      <c r="M60" s="2" t="inlineStr">
        <is>
          <t>P060252</t>
        </is>
      </c>
      <c r="N60" s="2" t="inlineStr">
        <is>
          <t>Gorilla Glue</t>
        </is>
      </c>
      <c r="O60" s="2" t="inlineStr">
        <is>
          <t>ППК26061, (11.05.2026) [CNP]</t>
        </is>
      </c>
      <c r="P60" s="6" t="inlineStr">
        <is>
          <t>—</t>
        </is>
      </c>
      <c r="Q60" s="2" t="inlineStr">
        <is>
          <t>—</t>
        </is>
      </c>
      <c r="R60" s="2" t="inlineStr">
        <is>
          <t>(assigned on issue)</t>
        </is>
      </c>
      <c r="S60" s="2" t="inlineStr">
        <is>
          <t>P060252|I</t>
        </is>
      </c>
      <c r="T60" s="7" t="inlineStr">
        <is>
          <t>registered — legacy series, issued 27.05.2026</t>
        </is>
      </c>
    </row>
    <row r="61">
      <c r="A61" s="2">
        <f>IF(C61="yes",COUNT(A$1:A60)+1,"")</f>
        <v/>
      </c>
      <c r="B61" s="3">
        <f>IF(A61&lt;&gt;"","CoQ-PP_26-"&amp;TEXT(A61,"000"),"— at issue —")</f>
        <v/>
      </c>
      <c r="C61" s="4" t="inlineStr">
        <is>
          <t>yes</t>
        </is>
      </c>
      <c r="D61" s="5">
        <f>IF(A61="","",MAX(E61,IF(ISNUMBER(I61),I61,0),IFERROR(IF(ISNUMBER(INDEX('iCoA Register'!$F:$F,MATCH(S61,'iCoA Register'!$P:$P,0))),(INDEX('iCoA Register'!$F:$F,MATCH(S61,'iCoA Register'!$P:$P,0)))+CHOOSE(WEEKDAY(INDEX('iCoA Register'!$F:$F,MATCH(S61,'iCoA Register'!$P:$P,0)),2),0,0,0,0,0,2,1),0),0)))</f>
        <v/>
      </c>
      <c r="E61" s="5">
        <f>IF(ISNUMBER(F61),IF(AND(J61="legacy",F61&lt;=DATE(2026,5,27)),DATE(2026,5,27),MAX(DATE(2026,5,27),(F61+7)+CHOOSE(WEEKDAY(F61+7,2),0,0,0,0,0,2,1))),IF(J61="legacy",DATE(2026,5,27),""))</f>
        <v/>
      </c>
      <c r="F61" s="5" t="n">
        <v>46135</v>
      </c>
      <c r="G61" s="2" t="inlineStr">
        <is>
          <t>1625-2026</t>
        </is>
      </c>
      <c r="H61" s="2">
        <f>IFERROR(INDEX('iCoA Register'!$B:$B,MATCH("P060262|I",'iCoA Register'!$P:$P,0)),"—")</f>
        <v/>
      </c>
      <c r="I61" s="5">
        <f>IFERROR(INDEX('iCoA Register'!$D:$D,MATCH("P060262|I",'iCoA Register'!$P:$P,0)),"")</f>
        <v/>
      </c>
      <c r="J61" s="2" t="inlineStr">
        <is>
          <t>post-SOP</t>
        </is>
      </c>
      <c r="K61" s="2" t="inlineStr">
        <is>
          <t>initial release</t>
        </is>
      </c>
      <c r="L61" s="3" t="inlineStr">
        <is>
          <t>J31122501</t>
        </is>
      </c>
      <c r="M61" s="2" t="inlineStr">
        <is>
          <t>P060262</t>
        </is>
      </c>
      <c r="N61" s="2" t="inlineStr">
        <is>
          <t>Jokerz 31</t>
        </is>
      </c>
      <c r="O61" s="2" t="inlineStr">
        <is>
          <t>100-2-K-26, (09.04.2026) [FHM-K]</t>
        </is>
      </c>
      <c r="P61" s="6" t="inlineStr">
        <is>
          <t>—</t>
        </is>
      </c>
      <c r="Q61" s="2" t="inlineStr">
        <is>
          <t>—</t>
        </is>
      </c>
      <c r="R61" s="2" t="inlineStr">
        <is>
          <t>(assigned on issue)</t>
        </is>
      </c>
      <c r="S61" s="2" t="inlineStr">
        <is>
          <t>P060262|I</t>
        </is>
      </c>
      <c r="T61" s="7" t="inlineStr">
        <is>
          <t>registered — rule date 30.04.2026 held to the legacy series day</t>
        </is>
      </c>
    </row>
    <row r="62">
      <c r="A62" s="2">
        <f>IF(C62="yes",COUNT(A$1:A61)+1,"")</f>
        <v/>
      </c>
      <c r="B62" s="3">
        <f>IF(A62&lt;&gt;"","CoQ-PP_26-"&amp;TEXT(A62,"000"),"— at issue —")</f>
        <v/>
      </c>
      <c r="C62" s="4" t="inlineStr">
        <is>
          <t>yes</t>
        </is>
      </c>
      <c r="D62" s="5">
        <f>IF(A62="","",MAX(E62,IF(ISNUMBER(I62),I62,0),IFERROR(IF(ISNUMBER(INDEX('iCoA Register'!$F:$F,MATCH(S62,'iCoA Register'!$P:$P,0))),(INDEX('iCoA Register'!$F:$F,MATCH(S62,'iCoA Register'!$P:$P,0)))+CHOOSE(WEEKDAY(INDEX('iCoA Register'!$F:$F,MATCH(S62,'iCoA Register'!$P:$P,0)),2),0,0,0,0,0,2,1),0),0)))</f>
        <v/>
      </c>
      <c r="E62" s="5">
        <f>IF(ISNUMBER(F62),IF(AND(J62="legacy",F62&lt;=DATE(2026,5,27)),DATE(2026,5,27),MAX(DATE(2026,5,27),(F62+7)+CHOOSE(WEEKDAY(F62+7,2),0,0,0,0,0,2,1))),IF(J62="legacy",DATE(2026,5,27),""))</f>
        <v/>
      </c>
      <c r="F62" s="5" t="n">
        <v>46153</v>
      </c>
      <c r="G62" s="2" t="inlineStr">
        <is>
          <t>ППК26068</t>
        </is>
      </c>
      <c r="H62" s="2">
        <f>IFERROR(INDEX('iCoA Register'!$B:$B,MATCH("P060272|I",'iCoA Register'!$P:$P,0)),"—")</f>
        <v/>
      </c>
      <c r="I62" s="5">
        <f>IFERROR(INDEX('iCoA Register'!$D:$D,MATCH("P060272|I",'iCoA Register'!$P:$P,0)),"")</f>
        <v/>
      </c>
      <c r="J62" s="2" t="inlineStr">
        <is>
          <t>post-SOP</t>
        </is>
      </c>
      <c r="K62" s="2" t="inlineStr">
        <is>
          <t>initial release</t>
        </is>
      </c>
      <c r="L62" s="3" t="inlineStr">
        <is>
          <t>CC112501</t>
        </is>
      </c>
      <c r="M62" s="2" t="inlineStr">
        <is>
          <t>P060272</t>
        </is>
      </c>
      <c r="N62" s="2" t="inlineStr">
        <is>
          <t>Cash Cow</t>
        </is>
      </c>
      <c r="O62" s="2" t="inlineStr">
        <is>
          <t>ППК26068, (11.05.2026) [CNP]</t>
        </is>
      </c>
      <c r="P62" s="6" t="inlineStr">
        <is>
          <t>—</t>
        </is>
      </c>
      <c r="Q62" s="2" t="inlineStr">
        <is>
          <t>—</t>
        </is>
      </c>
      <c r="R62" s="2" t="inlineStr">
        <is>
          <t>(assigned on issue)</t>
        </is>
      </c>
      <c r="S62" s="2" t="inlineStr">
        <is>
          <t>P060272|I</t>
        </is>
      </c>
      <c r="T62" s="7" t="inlineStr">
        <is>
          <t>registered — rule date 18.05.2026 held to the legacy series day</t>
        </is>
      </c>
    </row>
    <row r="63">
      <c r="A63" s="2">
        <f>IF(C63="yes",COUNT(A$1:A62)+1,"")</f>
        <v/>
      </c>
      <c r="B63" s="3">
        <f>IF(A63&lt;&gt;"","CoQ-PP_26-"&amp;TEXT(A63,"000"),"— at issue —")</f>
        <v/>
      </c>
      <c r="C63" s="4" t="inlineStr">
        <is>
          <t>yes</t>
        </is>
      </c>
      <c r="D63" s="5">
        <f>IF(A63="","",MAX(E63,IF(ISNUMBER(I63),I63,0),IFERROR(IF(ISNUMBER(INDEX('iCoA Register'!$F:$F,MATCH(S63,'iCoA Register'!$P:$P,0))),(INDEX('iCoA Register'!$F:$F,MATCH(S63,'iCoA Register'!$P:$P,0)))+CHOOSE(WEEKDAY(INDEX('iCoA Register'!$F:$F,MATCH(S63,'iCoA Register'!$P:$P,0)),2),0,0,0,0,0,2,1),0),0)))</f>
        <v/>
      </c>
      <c r="E63" s="5">
        <f>IF(ISNUMBER(F63),IF(AND(J63="legacy",F63&lt;=DATE(2026,5,27)),DATE(2026,5,27),MAX(DATE(2026,5,27),(F63+7)+CHOOSE(WEEKDAY(F63+7,2),0,0,0,0,0,2,1))),IF(J63="legacy",DATE(2026,5,27),""))</f>
        <v/>
      </c>
      <c r="F63" s="5" t="n">
        <v>46153</v>
      </c>
      <c r="G63" s="2" t="inlineStr">
        <is>
          <t>ППК26069</t>
        </is>
      </c>
      <c r="H63" s="2">
        <f>IFERROR(INDEX('iCoA Register'!$B:$B,MATCH("P060282|I",'iCoA Register'!$P:$P,0)),"—")</f>
        <v/>
      </c>
      <c r="I63" s="5">
        <f>IFERROR(INDEX('iCoA Register'!$D:$D,MATCH("P060282|I",'iCoA Register'!$P:$P,0)),"")</f>
        <v/>
      </c>
      <c r="J63" s="2" t="inlineStr">
        <is>
          <t>post-SOP</t>
        </is>
      </c>
      <c r="K63" s="2" t="inlineStr">
        <is>
          <t>initial release</t>
        </is>
      </c>
      <c r="L63" s="3" t="inlineStr">
        <is>
          <t>SCR112501</t>
        </is>
      </c>
      <c r="M63" s="2" t="inlineStr">
        <is>
          <t>P060282</t>
        </is>
      </c>
      <c r="N63" s="2" t="inlineStr">
        <is>
          <t>Scrambler</t>
        </is>
      </c>
      <c r="O63" s="2" t="inlineStr">
        <is>
          <t>ППК26069, (11.05.2026) [CNP]</t>
        </is>
      </c>
      <c r="P63" s="6" t="inlineStr">
        <is>
          <t>—</t>
        </is>
      </c>
      <c r="Q63" s="2" t="inlineStr">
        <is>
          <t>—</t>
        </is>
      </c>
      <c r="R63" s="2" t="inlineStr">
        <is>
          <t>CoQ-PP-2026-0018</t>
        </is>
      </c>
      <c r="S63" s="2" t="inlineStr">
        <is>
          <t>P060282|I</t>
        </is>
      </c>
      <c r="T63" s="7" t="inlineStr">
        <is>
          <t>registered — rule date 18.05.2026 held to the legacy series day</t>
        </is>
      </c>
    </row>
    <row r="64">
      <c r="A64" s="2">
        <f>IF(C64="yes",COUNT(A$1:A63)+1,"")</f>
        <v/>
      </c>
      <c r="B64" s="3">
        <f>IF(A64&lt;&gt;"","CoQ-PP_26-"&amp;TEXT(A64,"000"),"— at issue —")</f>
        <v/>
      </c>
      <c r="C64" s="4" t="inlineStr">
        <is>
          <t>yes</t>
        </is>
      </c>
      <c r="D64" s="5">
        <f>IF(A64="","",MAX(E64,IF(ISNUMBER(I64),I64,0),IFERROR(IF(ISNUMBER(INDEX('iCoA Register'!$F:$F,MATCH(S64,'iCoA Register'!$P:$P,0))),(INDEX('iCoA Register'!$F:$F,MATCH(S64,'iCoA Register'!$P:$P,0)))+CHOOSE(WEEKDAY(INDEX('iCoA Register'!$F:$F,MATCH(S64,'iCoA Register'!$P:$P,0)),2),0,0,0,0,0,2,1),0),0)))</f>
        <v/>
      </c>
      <c r="E64" s="5">
        <f>IF(ISNUMBER(F64),IF(AND(J64="legacy",F64&lt;=DATE(2026,5,27)),DATE(2026,5,27),MAX(DATE(2026,5,27),(F64+7)+CHOOSE(WEEKDAY(F64+7,2),0,0,0,0,0,2,1))),IF(J64="legacy",DATE(2026,5,27),""))</f>
        <v/>
      </c>
      <c r="F64" s="5" t="n">
        <v>46153</v>
      </c>
      <c r="G64" s="2" t="inlineStr">
        <is>
          <t>ППК26066</t>
        </is>
      </c>
      <c r="H64" s="2">
        <f>IFERROR(INDEX('iCoA Register'!$B:$B,MATCH("P060292|I",'iCoA Register'!$P:$P,0)),"—")</f>
        <v/>
      </c>
      <c r="I64" s="5">
        <f>IFERROR(INDEX('iCoA Register'!$D:$D,MATCH("P060292|I",'iCoA Register'!$P:$P,0)),"")</f>
        <v/>
      </c>
      <c r="J64" s="2" t="inlineStr">
        <is>
          <t>post-SOP</t>
        </is>
      </c>
      <c r="K64" s="2" t="inlineStr">
        <is>
          <t>initial release</t>
        </is>
      </c>
      <c r="L64" s="3" t="inlineStr">
        <is>
          <t>FB112501</t>
        </is>
      </c>
      <c r="M64" s="2" t="inlineStr">
        <is>
          <t>P060292</t>
        </is>
      </c>
      <c r="N64" s="2" t="inlineStr">
        <is>
          <t>Fat Bastard</t>
        </is>
      </c>
      <c r="O64" s="2" t="inlineStr">
        <is>
          <t>ППК26066, (11.05.2026) [CNP]</t>
        </is>
      </c>
      <c r="P64" s="6" t="inlineStr">
        <is>
          <t>—</t>
        </is>
      </c>
      <c r="Q64" s="2" t="inlineStr">
        <is>
          <t>—</t>
        </is>
      </c>
      <c r="R64" s="2" t="inlineStr">
        <is>
          <t>(assigned on issue)</t>
        </is>
      </c>
      <c r="S64" s="2" t="inlineStr">
        <is>
          <t>P060292|I</t>
        </is>
      </c>
      <c r="T64" s="7" t="inlineStr">
        <is>
          <t>registered — rule date 18.05.2026 held to the legacy series day</t>
        </is>
      </c>
    </row>
    <row r="65">
      <c r="A65" s="2">
        <f>IF(C65="yes",COUNT(A$1:A64)+1,"")</f>
        <v/>
      </c>
      <c r="B65" s="3">
        <f>IF(A65&lt;&gt;"","CoQ-PP_26-"&amp;TEXT(A65,"000"),"— at issue —")</f>
        <v/>
      </c>
      <c r="C65" s="4" t="inlineStr">
        <is>
          <t>yes</t>
        </is>
      </c>
      <c r="D65" s="5">
        <f>IF(A65="","",MAX(E65,IF(ISNUMBER(I65),I65,0),IFERROR(IF(ISNUMBER(INDEX('iCoA Register'!$F:$F,MATCH(S65,'iCoA Register'!$P:$P,0))),(INDEX('iCoA Register'!$F:$F,MATCH(S65,'iCoA Register'!$P:$P,0)))+CHOOSE(WEEKDAY(INDEX('iCoA Register'!$F:$F,MATCH(S65,'iCoA Register'!$P:$P,0)),2),0,0,0,0,0,2,1),0),0)))</f>
        <v/>
      </c>
      <c r="E65" s="5">
        <f>IF(ISNUMBER(F65),IF(AND(J65="legacy",F65&lt;=DATE(2026,5,27)),DATE(2026,5,27),MAX(DATE(2026,5,27),(F65+7)+CHOOSE(WEEKDAY(F65+7,2),0,0,0,0,0,2,1))),IF(J65="legacy",DATE(2026,5,27),""))</f>
        <v/>
      </c>
      <c r="F65" s="5" t="n">
        <v>46153</v>
      </c>
      <c r="G65" s="2" t="inlineStr">
        <is>
          <t>ППК26062</t>
        </is>
      </c>
      <c r="H65" s="2">
        <f>IFERROR(INDEX('iCoA Register'!$B:$B,MATCH("P060302|I",'iCoA Register'!$P:$P,0)),"—")</f>
        <v/>
      </c>
      <c r="I65" s="5">
        <f>IFERROR(INDEX('iCoA Register'!$D:$D,MATCH("P060302|I",'iCoA Register'!$P:$P,0)),"")</f>
        <v/>
      </c>
      <c r="J65" s="2" t="inlineStr">
        <is>
          <t>post-SOP</t>
        </is>
      </c>
      <c r="K65" s="2" t="inlineStr">
        <is>
          <t>initial release</t>
        </is>
      </c>
      <c r="L65" s="3" t="inlineStr">
        <is>
          <t>GG012601＊</t>
        </is>
      </c>
      <c r="M65" s="2" t="inlineStr">
        <is>
          <t>P060302</t>
        </is>
      </c>
      <c r="N65" s="2" t="inlineStr">
        <is>
          <t>Gorilla Glue</t>
        </is>
      </c>
      <c r="O65" s="2" t="inlineStr">
        <is>
          <t>ППК26062, (11.05.2026) [CNP]</t>
        </is>
      </c>
      <c r="P65" s="6" t="inlineStr">
        <is>
          <t>—</t>
        </is>
      </c>
      <c r="Q65" s="2" t="inlineStr">
        <is>
          <t>—</t>
        </is>
      </c>
      <c r="R65" s="2" t="inlineStr">
        <is>
          <t>(assigned on issue)</t>
        </is>
      </c>
      <c r="S65" s="2" t="inlineStr">
        <is>
          <t>P060302|I</t>
        </is>
      </c>
      <c r="T65" s="7" t="inlineStr">
        <is>
          <t>registered — rule date 18.05.2026 held to the legacy series day</t>
        </is>
      </c>
    </row>
    <row r="66">
      <c r="A66" s="2">
        <f>IF(C66="yes",COUNT(A$1:A65)+1,"")</f>
        <v/>
      </c>
      <c r="B66" s="3">
        <f>IF(A66&lt;&gt;"","CoQ-PP_26-"&amp;TEXT(A66,"000"),"— at issue —")</f>
        <v/>
      </c>
      <c r="C66" s="4" t="inlineStr">
        <is>
          <t>yes</t>
        </is>
      </c>
      <c r="D66" s="5">
        <f>IF(A66="","",MAX(E66,IF(ISNUMBER(I66),I66,0),IFERROR(IF(ISNUMBER(INDEX('iCoA Register'!$F:$F,MATCH(S66,'iCoA Register'!$P:$P,0))),(INDEX('iCoA Register'!$F:$F,MATCH(S66,'iCoA Register'!$P:$P,0)))+CHOOSE(WEEKDAY(INDEX('iCoA Register'!$F:$F,MATCH(S66,'iCoA Register'!$P:$P,0)),2),0,0,0,0,0,2,1),0),0)))</f>
        <v/>
      </c>
      <c r="E66" s="5">
        <f>IF(ISNUMBER(F66),IF(AND(J66="legacy",F66&lt;=DATE(2026,5,27)),DATE(2026,5,27),MAX(DATE(2026,5,27),(F66+7)+CHOOSE(WEEKDAY(F66+7,2),0,0,0,0,0,2,1))),IF(J66="legacy",DATE(2026,5,27),""))</f>
        <v/>
      </c>
      <c r="F66" s="5" t="n">
        <v>46153</v>
      </c>
      <c r="G66" s="2" t="inlineStr">
        <is>
          <t>ППК26064</t>
        </is>
      </c>
      <c r="H66" s="2">
        <f>IFERROR(INDEX('iCoA Register'!$B:$B,MATCH("P060312|I",'iCoA Register'!$P:$P,0)),"—")</f>
        <v/>
      </c>
      <c r="I66" s="5">
        <f>IFERROR(INDEX('iCoA Register'!$D:$D,MATCH("P060312|I",'iCoA Register'!$P:$P,0)),"")</f>
        <v/>
      </c>
      <c r="J66" s="2" t="inlineStr">
        <is>
          <t>post-SOP</t>
        </is>
      </c>
      <c r="K66" s="2" t="inlineStr">
        <is>
          <t>initial release</t>
        </is>
      </c>
      <c r="L66" s="3" t="inlineStr">
        <is>
          <t>JD012601＊</t>
        </is>
      </c>
      <c r="M66" s="2" t="inlineStr">
        <is>
          <t>P060312</t>
        </is>
      </c>
      <c r="N66" s="2" t="inlineStr">
        <is>
          <t>Jelly Donutz</t>
        </is>
      </c>
      <c r="O66" s="2" t="inlineStr">
        <is>
          <t>ППК26064, (11.05.2026) [CNP]</t>
        </is>
      </c>
      <c r="P66" s="6" t="inlineStr">
        <is>
          <t>—</t>
        </is>
      </c>
      <c r="Q66" s="2" t="inlineStr">
        <is>
          <t>—</t>
        </is>
      </c>
      <c r="R66" s="2" t="inlineStr">
        <is>
          <t>(assigned on issue)</t>
        </is>
      </c>
      <c r="S66" s="2" t="inlineStr">
        <is>
          <t>P060312|I</t>
        </is>
      </c>
      <c r="T66" s="7" t="inlineStr">
        <is>
          <t>registered — rule date 18.05.2026 held to the legacy series day</t>
        </is>
      </c>
    </row>
    <row r="67">
      <c r="A67" s="2">
        <f>IF(C67="yes",COUNT(A$1:A66)+1,"")</f>
        <v/>
      </c>
      <c r="B67" s="3">
        <f>IF(A67&lt;&gt;"","CoQ-PP_26-"&amp;TEXT(A67,"000"),"— at issue —")</f>
        <v/>
      </c>
      <c r="C67" s="4" t="inlineStr">
        <is>
          <t>yes</t>
        </is>
      </c>
      <c r="D67" s="5">
        <f>IF(A67="","",MAX(E67,IF(ISNUMBER(I67),I67,0),IFERROR(IF(ISNUMBER(INDEX('iCoA Register'!$F:$F,MATCH(S67,'iCoA Register'!$P:$P,0))),(INDEX('iCoA Register'!$F:$F,MATCH(S67,'iCoA Register'!$P:$P,0)))+CHOOSE(WEEKDAY(INDEX('iCoA Register'!$F:$F,MATCH(S67,'iCoA Register'!$P:$P,0)),2),0,0,0,0,0,2,1),0),0)))</f>
        <v/>
      </c>
      <c r="E67" s="5">
        <f>IF(ISNUMBER(F67),IF(AND(J67="legacy",F67&lt;=DATE(2026,5,27)),DATE(2026,5,27),MAX(DATE(2026,5,27),(F67+7)+CHOOSE(WEEKDAY(F67+7,2),0,0,0,0,0,2,1))),IF(J67="legacy",DATE(2026,5,27),""))</f>
        <v/>
      </c>
      <c r="F67" s="5" t="inlineStr">
        <is>
          <t>—</t>
        </is>
      </c>
      <c r="G67" s="2" t="inlineStr">
        <is>
          <t>—</t>
        </is>
      </c>
      <c r="H67" s="2">
        <f>IFERROR(INDEX('iCoA Register'!$B:$B,MATCH("P060332|I",'iCoA Register'!$P:$P,0)),"—")</f>
        <v/>
      </c>
      <c r="I67" s="5">
        <f>IFERROR(INDEX('iCoA Register'!$D:$D,MATCH("P060332|I",'iCoA Register'!$P:$P,0)),"")</f>
        <v/>
      </c>
      <c r="J67" s="2" t="inlineStr">
        <is>
          <t>post-SOP</t>
        </is>
      </c>
      <c r="K67" s="2" t="inlineStr">
        <is>
          <t>initial release</t>
        </is>
      </c>
      <c r="L67" s="3" t="inlineStr">
        <is>
          <t>CC012601/1</t>
        </is>
      </c>
      <c r="M67" s="2" t="inlineStr">
        <is>
          <t>P060332</t>
        </is>
      </c>
      <c r="N67" s="2" t="inlineStr"/>
      <c r="O67" s="6" t="inlineStr">
        <is>
          <t>— no cannabinoid certificate from the initial testing —</t>
        </is>
      </c>
      <c r="P67" s="6" t="inlineStr">
        <is>
          <t>—</t>
        </is>
      </c>
      <c r="Q67" s="2" t="inlineStr">
        <is>
          <t>—</t>
        </is>
      </c>
      <c r="R67" s="2" t="inlineStr">
        <is>
          <t>— not in the issuance plan —</t>
        </is>
      </c>
      <c r="S67" s="2" t="inlineStr">
        <is>
          <t>P060332|I</t>
        </is>
      </c>
      <c r="T67" s="7" t="inlineStr">
        <is>
          <t>registered — provisional date: no initial certificate on file yet — the date follows the latest eCoA once located · initial certificate to locate (CNP): #3, #4, #5, #6, #8, #9, #10, #11, #12</t>
        </is>
      </c>
    </row>
    <row r="68">
      <c r="A68" s="2">
        <f>IF(C68="yes",COUNT(A$1:A67)+1,"")</f>
        <v/>
      </c>
      <c r="B68" s="3">
        <f>IF(A68&lt;&gt;"","CoQ-PP_26-"&amp;TEXT(A68,"000"),"— at issue —")</f>
        <v/>
      </c>
      <c r="C68" s="4" t="inlineStr">
        <is>
          <t>yes</t>
        </is>
      </c>
      <c r="D68" s="5">
        <f>IF(A68="","",MAX(E68,IF(ISNUMBER(I68),I68,0),IFERROR(IF(ISNUMBER(INDEX('iCoA Register'!$F:$F,MATCH(S68,'iCoA Register'!$P:$P,0))),(INDEX('iCoA Register'!$F:$F,MATCH(S68,'iCoA Register'!$P:$P,0)))+CHOOSE(WEEKDAY(INDEX('iCoA Register'!$F:$F,MATCH(S68,'iCoA Register'!$P:$P,0)),2),0,0,0,0,0,2,1),0),0)))</f>
        <v/>
      </c>
      <c r="E68" s="5">
        <f>IF(ISNUMBER(F68),IF(AND(J68="legacy",F68&lt;=DATE(2026,5,27)),DATE(2026,5,27),MAX(DATE(2026,5,27),(F68+7)+CHOOSE(WEEKDAY(F68+7,2),0,0,0,0,0,2,1))),IF(J68="legacy",DATE(2026,5,27),""))</f>
        <v/>
      </c>
      <c r="F68" s="5" t="n">
        <v>46153</v>
      </c>
      <c r="G68" s="2" t="inlineStr">
        <is>
          <t>ППК26067</t>
        </is>
      </c>
      <c r="H68" s="2">
        <f>IFERROR(INDEX('iCoA Register'!$B:$B,MATCH("P060322|I",'iCoA Register'!$P:$P,0)),"—")</f>
        <v/>
      </c>
      <c r="I68" s="5">
        <f>IFERROR(INDEX('iCoA Register'!$D:$D,MATCH("P060322|I",'iCoA Register'!$P:$P,0)),"")</f>
        <v/>
      </c>
      <c r="J68" s="2" t="inlineStr">
        <is>
          <t>post-SOP</t>
        </is>
      </c>
      <c r="K68" s="2" t="inlineStr">
        <is>
          <t>initial release</t>
        </is>
      </c>
      <c r="L68" s="3" t="inlineStr">
        <is>
          <t>FB012601_1</t>
        </is>
      </c>
      <c r="M68" s="2" t="inlineStr">
        <is>
          <t>P060322</t>
        </is>
      </c>
      <c r="N68" s="2" t="inlineStr">
        <is>
          <t>Fat Bastard</t>
        </is>
      </c>
      <c r="O68" s="2" t="inlineStr">
        <is>
          <t>ППК26067, (11.05.2026) [CNP]</t>
        </is>
      </c>
      <c r="P68" s="6" t="inlineStr">
        <is>
          <t>—</t>
        </is>
      </c>
      <c r="Q68" s="2" t="inlineStr">
        <is>
          <t>—</t>
        </is>
      </c>
      <c r="R68" s="2" t="inlineStr">
        <is>
          <t>CoQ-PP-2026-0019</t>
        </is>
      </c>
      <c r="S68" s="2" t="inlineStr">
        <is>
          <t>P060322|I</t>
        </is>
      </c>
      <c r="T68" s="7" t="inlineStr">
        <is>
          <t>registered — rule date 18.05.2026 held to the legacy series day</t>
        </is>
      </c>
    </row>
    <row r="69">
      <c r="A69" s="2">
        <f>IF(C69="yes",COUNT(A$1:A68)+1,"")</f>
        <v/>
      </c>
      <c r="B69" s="3">
        <f>IF(A69&lt;&gt;"","CoQ-PP_26-"&amp;TEXT(A69,"000"),"— at issue —")</f>
        <v/>
      </c>
      <c r="C69" s="4" t="inlineStr">
        <is>
          <t>yes</t>
        </is>
      </c>
      <c r="D69" s="5">
        <f>IF(A69="","",MAX(E69,IF(ISNUMBER(I69),I69,0),IFERROR(IF(ISNUMBER(INDEX('iCoA Register'!$F:$F,MATCH(S69,'iCoA Register'!$P:$P,0))),(INDEX('iCoA Register'!$F:$F,MATCH(S69,'iCoA Register'!$P:$P,0)))+CHOOSE(WEEKDAY(INDEX('iCoA Register'!$F:$F,MATCH(S69,'iCoA Register'!$P:$P,0)),2),0,0,0,0,0,2,1),0),0)))</f>
        <v/>
      </c>
      <c r="E69" s="5">
        <f>IF(ISNUMBER(F69),IF(AND(J69="legacy",F69&lt;=DATE(2026,5,27)),DATE(2026,5,27),MAX(DATE(2026,5,27),(F69+7)+CHOOSE(WEEKDAY(F69+7,2),0,0,0,0,0,2,1))),IF(J69="legacy",DATE(2026,5,27),""))</f>
        <v/>
      </c>
      <c r="F69" s="5" t="inlineStr">
        <is>
          <t>—</t>
        </is>
      </c>
      <c r="G69" s="2" t="inlineStr">
        <is>
          <t>—</t>
        </is>
      </c>
      <c r="H69" s="2">
        <f>IFERROR(INDEX('iCoA Register'!$B:$B,MATCH("P060352|I",'iCoA Register'!$P:$P,0)),"—")</f>
        <v/>
      </c>
      <c r="I69" s="5">
        <f>IFERROR(INDEX('iCoA Register'!$D:$D,MATCH("P060352|I",'iCoA Register'!$P:$P,0)),"")</f>
        <v/>
      </c>
      <c r="J69" s="2" t="inlineStr">
        <is>
          <t>post-SOP</t>
        </is>
      </c>
      <c r="K69" s="2" t="inlineStr">
        <is>
          <t>initial release</t>
        </is>
      </c>
      <c r="L69" s="3" t="inlineStr">
        <is>
          <t>FB012602*</t>
        </is>
      </c>
      <c r="M69" s="2" t="inlineStr">
        <is>
          <t>P060352</t>
        </is>
      </c>
      <c r="N69" s="2" t="inlineStr">
        <is>
          <t>Fat Bastard</t>
        </is>
      </c>
      <c r="O69" s="6" t="inlineStr">
        <is>
          <t>— no cannabinoid certificate from the initial testing —</t>
        </is>
      </c>
      <c r="P69" s="6" t="inlineStr">
        <is>
          <t>—</t>
        </is>
      </c>
      <c r="Q69" s="2" t="inlineStr">
        <is>
          <t>—</t>
        </is>
      </c>
      <c r="R69" s="2" t="inlineStr">
        <is>
          <t>CoQ-PP-2026-0021</t>
        </is>
      </c>
      <c r="S69" s="2" t="inlineStr">
        <is>
          <t>P060352|I</t>
        </is>
      </c>
      <c r="T69" s="7" t="inlineStr">
        <is>
          <t>registered — provisional date: no initial certificate on file yet — the date follows the latest eCoA once located · initial certificate to locate (CNP): #3, #4, #5, #6, #8, #9, #10, #11, #12</t>
        </is>
      </c>
    </row>
    <row r="70">
      <c r="A70" s="2">
        <f>IF(C70="yes",COUNT(A$1:A69)+1,"")</f>
        <v/>
      </c>
      <c r="B70" s="3">
        <f>IF(A70&lt;&gt;"","CoQ-PP_26-"&amp;TEXT(A70,"000"),"— at issue —")</f>
        <v/>
      </c>
      <c r="C70" s="4" t="inlineStr">
        <is>
          <t>yes</t>
        </is>
      </c>
      <c r="D70" s="5">
        <f>IF(A70="","",MAX(E70,IF(ISNUMBER(I70),I70,0),IFERROR(IF(ISNUMBER(INDEX('iCoA Register'!$F:$F,MATCH(S70,'iCoA Register'!$P:$P,0))),(INDEX('iCoA Register'!$F:$F,MATCH(S70,'iCoA Register'!$P:$P,0)))+CHOOSE(WEEKDAY(INDEX('iCoA Register'!$F:$F,MATCH(S70,'iCoA Register'!$P:$P,0)),2),0,0,0,0,0,2,1),0),0)))</f>
        <v/>
      </c>
      <c r="E70" s="5">
        <f>IF(ISNUMBER(F70),IF(AND(J70="legacy",F70&lt;=DATE(2026,5,27)),DATE(2026,5,27),MAX(DATE(2026,5,27),(F70+7)+CHOOSE(WEEKDAY(F70+7,2),0,0,0,0,0,2,1))),IF(J70="legacy",DATE(2026,5,27),""))</f>
        <v/>
      </c>
      <c r="F70" s="5" t="inlineStr">
        <is>
          <t>—</t>
        </is>
      </c>
      <c r="G70" s="2" t="inlineStr">
        <is>
          <t>—</t>
        </is>
      </c>
      <c r="H70" s="2">
        <f>IFERROR(INDEX('iCoA Register'!$B:$B,MATCH("P060382|I",'iCoA Register'!$P:$P,0)),"—")</f>
        <v/>
      </c>
      <c r="I70" s="5">
        <f>IFERROR(INDEX('iCoA Register'!$D:$D,MATCH("P060382|I",'iCoA Register'!$P:$P,0)),"")</f>
        <v/>
      </c>
      <c r="J70" s="2" t="inlineStr">
        <is>
          <t>post-SOP</t>
        </is>
      </c>
      <c r="K70" s="2" t="inlineStr">
        <is>
          <t>initial release</t>
        </is>
      </c>
      <c r="L70" s="3" t="inlineStr">
        <is>
          <t>SCR012603</t>
        </is>
      </c>
      <c r="M70" s="2" t="inlineStr">
        <is>
          <t>P060382</t>
        </is>
      </c>
      <c r="N70" s="2" t="inlineStr">
        <is>
          <t>Scrambler</t>
        </is>
      </c>
      <c r="O70" s="6" t="inlineStr">
        <is>
          <t>— no cannabinoid certificate from the initial testing —</t>
        </is>
      </c>
      <c r="P70" s="6" t="inlineStr">
        <is>
          <t>—</t>
        </is>
      </c>
      <c r="Q70" s="2" t="inlineStr">
        <is>
          <t>—</t>
        </is>
      </c>
      <c r="R70" s="2" t="inlineStr">
        <is>
          <t>CoQ-PP-2026-0026</t>
        </is>
      </c>
      <c r="S70" s="2" t="inlineStr">
        <is>
          <t>P060382|I</t>
        </is>
      </c>
      <c r="T70" s="7" t="inlineStr">
        <is>
          <t>registered — provisional date: no initial certificate on file yet — the date follows the latest eCoA once located · initial certificate to locate (CNP): #3, #4, #5, #6, #8, #9, #10, #11, #12</t>
        </is>
      </c>
    </row>
    <row r="71">
      <c r="A71" s="2">
        <f>IF(C71="yes",COUNT(A$1:A70)+1,"")</f>
        <v/>
      </c>
      <c r="B71" s="3">
        <f>IF(A71&lt;&gt;"","CoQ-PP_26-"&amp;TEXT(A71,"000"),"— at issue —")</f>
        <v/>
      </c>
      <c r="C71" s="4" t="inlineStr">
        <is>
          <t>yes</t>
        </is>
      </c>
      <c r="D71" s="5">
        <f>IF(A71="","",MAX(E71,IF(ISNUMBER(I71),I71,0),IFERROR(IF(ISNUMBER(INDEX('iCoA Register'!$F:$F,MATCH(S71,'iCoA Register'!$P:$P,0))),(INDEX('iCoA Register'!$F:$F,MATCH(S71,'iCoA Register'!$P:$P,0)))+CHOOSE(WEEKDAY(INDEX('iCoA Register'!$F:$F,MATCH(S71,'iCoA Register'!$P:$P,0)),2),0,0,0,0,0,2,1),0),0)))</f>
        <v/>
      </c>
      <c r="E71" s="5">
        <f>IF(ISNUMBER(F71),IF(AND(J71="legacy",F71&lt;=DATE(2026,5,27)),DATE(2026,5,27),MAX(DATE(2026,5,27),(F71+7)+CHOOSE(WEEKDAY(F71+7,2),0,0,0,0,0,2,1))),IF(J71="legacy",DATE(2026,5,27),""))</f>
        <v/>
      </c>
      <c r="F71" s="5" t="n">
        <v>46203</v>
      </c>
      <c r="G71" s="2" t="inlineStr">
        <is>
          <t>ППК26111</t>
        </is>
      </c>
      <c r="H71" s="2">
        <f>IFERROR(INDEX('iCoA Register'!$B:$B,MATCH("P060362|I",'iCoA Register'!$P:$P,0)),"—")</f>
        <v/>
      </c>
      <c r="I71" s="5">
        <f>IFERROR(INDEX('iCoA Register'!$D:$D,MATCH("P060362|I",'iCoA Register'!$P:$P,0)),"")</f>
        <v/>
      </c>
      <c r="J71" s="2" t="inlineStr">
        <is>
          <t>post-SOP</t>
        </is>
      </c>
      <c r="K71" s="2" t="inlineStr">
        <is>
          <t>initial release</t>
        </is>
      </c>
      <c r="L71" s="3" t="inlineStr">
        <is>
          <t>JD012603</t>
        </is>
      </c>
      <c r="M71" s="2" t="inlineStr">
        <is>
          <t>P060362</t>
        </is>
      </c>
      <c r="N71" s="2" t="inlineStr"/>
      <c r="O71" s="2" t="inlineStr">
        <is>
          <t>ППК26111, (30.06.2026) [CNP]</t>
        </is>
      </c>
      <c r="P71" s="2" t="inlineStr">
        <is>
          <t>A: ППК26111 / B: ППК26111 / FM: ППК26111</t>
        </is>
      </c>
      <c r="Q71" s="2" t="inlineStr">
        <is>
          <t>—</t>
        </is>
      </c>
      <c r="R71" s="2" t="inlineStr">
        <is>
          <t>CoQ-PP-2026-0020</t>
        </is>
      </c>
      <c r="S71" s="2" t="inlineStr">
        <is>
          <t>P060362|I</t>
        </is>
      </c>
      <c r="T71" s="7" t="inlineStr">
        <is>
          <t>registered — first working day 7 days after the latest eCoA · initial certificate to locate (CNP): #9, #10, #11, #12</t>
        </is>
      </c>
    </row>
    <row r="72">
      <c r="A72" s="2">
        <f>IF(C72="yes",COUNT(A$1:A71)+1,"")</f>
        <v/>
      </c>
      <c r="B72" s="3">
        <f>IF(A72&lt;&gt;"","CoQ-PP_26-"&amp;TEXT(A72,"000"),"— at issue —")</f>
        <v/>
      </c>
      <c r="C72" s="4" t="inlineStr">
        <is>
          <t>yes</t>
        </is>
      </c>
      <c r="D72" s="5">
        <f>IF(A72="","",MAX(E72,IF(ISNUMBER(I72),I72,0),IFERROR(IF(ISNUMBER(INDEX('iCoA Register'!$F:$F,MATCH(S72,'iCoA Register'!$P:$P,0))),(INDEX('iCoA Register'!$F:$F,MATCH(S72,'iCoA Register'!$P:$P,0)))+CHOOSE(WEEKDAY(INDEX('iCoA Register'!$F:$F,MATCH(S72,'iCoA Register'!$P:$P,0)),2),0,0,0,0,0,2,1),0),0)))</f>
        <v/>
      </c>
      <c r="E72" s="5">
        <f>IF(ISNUMBER(F72),IF(AND(J72="legacy",F72&lt;=DATE(2026,5,27)),DATE(2026,5,27),MAX(DATE(2026,5,27),(F72+7)+CHOOSE(WEEKDAY(F72+7,2),0,0,0,0,0,2,1))),IF(J72="legacy",DATE(2026,5,27),""))</f>
        <v/>
      </c>
      <c r="F72" s="5" t="n">
        <v>46203</v>
      </c>
      <c r="G72" s="2" t="inlineStr">
        <is>
          <t>ППК26111</t>
        </is>
      </c>
      <c r="H72" s="2">
        <f>IFERROR(INDEX('iCoA Register'!$B:$B,MATCH("P060422|I",'iCoA Register'!$P:$P,0)),"—")</f>
        <v/>
      </c>
      <c r="I72" s="5">
        <f>IFERROR(INDEX('iCoA Register'!$D:$D,MATCH("P060422|I",'iCoA Register'!$P:$P,0)),"")</f>
        <v/>
      </c>
      <c r="J72" s="2" t="inlineStr">
        <is>
          <t>post-SOP</t>
        </is>
      </c>
      <c r="K72" s="2" t="inlineStr">
        <is>
          <t>initial release</t>
        </is>
      </c>
      <c r="L72" s="3" t="inlineStr">
        <is>
          <t>JD012603</t>
        </is>
      </c>
      <c r="M72" s="2" t="inlineStr">
        <is>
          <t>P060422</t>
        </is>
      </c>
      <c r="N72" s="2" t="inlineStr"/>
      <c r="O72" s="2" t="inlineStr">
        <is>
          <t>ППК26111, (30.06.2026) [CNP]</t>
        </is>
      </c>
      <c r="P72" s="2" t="inlineStr">
        <is>
          <t>A: ППК26111 / B: ППК26111 / FM: ППК26111</t>
        </is>
      </c>
      <c r="Q72" s="2" t="inlineStr">
        <is>
          <t>—</t>
        </is>
      </c>
      <c r="R72" s="2" t="inlineStr">
        <is>
          <t>CoQ-PP-2026-0022</t>
        </is>
      </c>
      <c r="S72" s="2" t="inlineStr">
        <is>
          <t>P060422|I</t>
        </is>
      </c>
      <c r="T72" s="7" t="inlineStr">
        <is>
          <t>registered — first working day 7 days after the latest eCoA · initial certificate to locate (CNP): #9, #10, #11, #12</t>
        </is>
      </c>
    </row>
    <row r="73">
      <c r="A73" s="2">
        <f>IF(C73="yes",COUNT(A$1:A72)+1,"")</f>
        <v/>
      </c>
      <c r="B73" s="3">
        <f>IF(A73&lt;&gt;"","CoQ-PP_26-"&amp;TEXT(A73,"000"),"— at issue —")</f>
        <v/>
      </c>
      <c r="C73" s="4" t="inlineStr">
        <is>
          <t>yes</t>
        </is>
      </c>
      <c r="D73" s="5">
        <f>IF(A73="","",MAX(E73,IF(ISNUMBER(I73),I73,0),IFERROR(IF(ISNUMBER(INDEX('iCoA Register'!$F:$F,MATCH(S73,'iCoA Register'!$P:$P,0))),(INDEX('iCoA Register'!$F:$F,MATCH(S73,'iCoA Register'!$P:$P,0)))+CHOOSE(WEEKDAY(INDEX('iCoA Register'!$F:$F,MATCH(S73,'iCoA Register'!$P:$P,0)),2),0,0,0,0,0,2,1),0),0)))</f>
        <v/>
      </c>
      <c r="E73" s="5">
        <f>IF(ISNUMBER(F73),IF(AND(J73="legacy",F73&lt;=DATE(2026,5,27)),DATE(2026,5,27),MAX(DATE(2026,5,27),(F73+7)+CHOOSE(WEEKDAY(F73+7,2),0,0,0,0,0,2,1))),IF(J73="legacy",DATE(2026,5,27),""))</f>
        <v/>
      </c>
      <c r="F73" s="5" t="n">
        <v>46203</v>
      </c>
      <c r="G73" s="2" t="inlineStr">
        <is>
          <t>ППК26114</t>
        </is>
      </c>
      <c r="H73" s="2">
        <f>IFERROR(INDEX('iCoA Register'!$B:$B,MATCH("P060402|I",'iCoA Register'!$P:$P,0)),"—")</f>
        <v/>
      </c>
      <c r="I73" s="5">
        <f>IFERROR(INDEX('iCoA Register'!$D:$D,MATCH("P060402|I",'iCoA Register'!$P:$P,0)),"")</f>
        <v/>
      </c>
      <c r="J73" s="2" t="inlineStr">
        <is>
          <t>post-SOP</t>
        </is>
      </c>
      <c r="K73" s="2" t="inlineStr">
        <is>
          <t>initial release</t>
        </is>
      </c>
      <c r="L73" s="3" t="inlineStr">
        <is>
          <t>GG012603</t>
        </is>
      </c>
      <c r="M73" s="2" t="inlineStr">
        <is>
          <t>P060402</t>
        </is>
      </c>
      <c r="N73" s="2" t="inlineStr">
        <is>
          <t>GorillaGlue</t>
        </is>
      </c>
      <c r="O73" s="2" t="inlineStr">
        <is>
          <t>ППК26114, (30.06.2026) [CNP]</t>
        </is>
      </c>
      <c r="P73" s="2" t="inlineStr">
        <is>
          <t>A: ППК26114 / B: ППК26114 / FM: ППК26114</t>
        </is>
      </c>
      <c r="Q73" s="2" t="inlineStr">
        <is>
          <t>—</t>
        </is>
      </c>
      <c r="R73" s="2" t="inlineStr">
        <is>
          <t>CoQ-PP-2026-0023</t>
        </is>
      </c>
      <c r="S73" s="2" t="inlineStr">
        <is>
          <t>P060402|I</t>
        </is>
      </c>
      <c r="T73" s="7" t="inlineStr">
        <is>
          <t>registered — first working day 7 days after the latest eCoA · initial certificate to locate (CNP): #9, #10, #11, #12</t>
        </is>
      </c>
    </row>
    <row r="74">
      <c r="A74" s="2">
        <f>IF(C74="yes",COUNT(A$1:A73)+1,"")</f>
        <v/>
      </c>
      <c r="B74" s="3">
        <f>IF(A74&lt;&gt;"","CoQ-PP_26-"&amp;TEXT(A74,"000"),"— at issue —")</f>
        <v/>
      </c>
      <c r="C74" s="4" t="inlineStr">
        <is>
          <t>yes</t>
        </is>
      </c>
      <c r="D74" s="5">
        <f>IF(A74="","",MAX(E74,IF(ISNUMBER(I74),I74,0),IFERROR(IF(ISNUMBER(INDEX('iCoA Register'!$F:$F,MATCH(S74,'iCoA Register'!$P:$P,0))),(INDEX('iCoA Register'!$F:$F,MATCH(S74,'iCoA Register'!$P:$P,0)))+CHOOSE(WEEKDAY(INDEX('iCoA Register'!$F:$F,MATCH(S74,'iCoA Register'!$P:$P,0)),2),0,0,0,0,0,2,1),0),0)))</f>
        <v/>
      </c>
      <c r="E74" s="5">
        <f>IF(ISNUMBER(F74),IF(AND(J74="legacy",F74&lt;=DATE(2026,5,27)),DATE(2026,5,27),MAX(DATE(2026,5,27),(F74+7)+CHOOSE(WEEKDAY(F74+7,2),0,0,0,0,0,2,1))),IF(J74="legacy",DATE(2026,5,27),""))</f>
        <v/>
      </c>
      <c r="F74" s="5" t="n">
        <v>46203</v>
      </c>
      <c r="G74" s="2" t="inlineStr">
        <is>
          <t>ППК26111</t>
        </is>
      </c>
      <c r="H74" s="2">
        <f>IFERROR(INDEX('iCoA Register'!$B:$B,MATCH("P060412|I",'iCoA Register'!$P:$P,0)),"—")</f>
        <v/>
      </c>
      <c r="I74" s="5">
        <f>IFERROR(INDEX('iCoA Register'!$D:$D,MATCH("P060412|I",'iCoA Register'!$P:$P,0)),"")</f>
        <v/>
      </c>
      <c r="J74" s="2" t="inlineStr">
        <is>
          <t>post-SOP</t>
        </is>
      </c>
      <c r="K74" s="2" t="inlineStr">
        <is>
          <t>initial release</t>
        </is>
      </c>
      <c r="L74" s="3" t="inlineStr">
        <is>
          <t>JD012603</t>
        </is>
      </c>
      <c r="M74" s="2" t="inlineStr">
        <is>
          <t>P060412</t>
        </is>
      </c>
      <c r="N74" s="2" t="inlineStr"/>
      <c r="O74" s="2" t="inlineStr">
        <is>
          <t>ППК26111, (30.06.2026) [CNP]</t>
        </is>
      </c>
      <c r="P74" s="2" t="inlineStr">
        <is>
          <t>A: ППК26111 / B: ППК26111 / FM: ППК26111</t>
        </is>
      </c>
      <c r="Q74" s="2" t="inlineStr">
        <is>
          <t>—</t>
        </is>
      </c>
      <c r="R74" s="2" t="inlineStr">
        <is>
          <t>CoQ-PP-2026-0025</t>
        </is>
      </c>
      <c r="S74" s="2" t="inlineStr">
        <is>
          <t>P060412|I</t>
        </is>
      </c>
      <c r="T74" s="7" t="inlineStr">
        <is>
          <t>registered — first working day 7 days after the latest eCoA · initial certificate to locate (CNP): #9, #10, #11, #12</t>
        </is>
      </c>
    </row>
    <row r="75">
      <c r="A75" s="2">
        <f>IF(C75="yes",COUNT(A$1:A74)+1,"")</f>
        <v/>
      </c>
      <c r="B75" s="3">
        <f>IF(A75&lt;&gt;"","CoQ-PP_26-"&amp;TEXT(A75,"000"),"— at issue —")</f>
        <v/>
      </c>
      <c r="C75" s="4" t="inlineStr">
        <is>
          <t>yes</t>
        </is>
      </c>
      <c r="D75" s="5">
        <f>IF(A75="","",MAX(E75,IF(ISNUMBER(I75),I75,0),IFERROR(IF(ISNUMBER(INDEX('iCoA Register'!$F:$F,MATCH(S75,'iCoA Register'!$P:$P,0))),(INDEX('iCoA Register'!$F:$F,MATCH(S75,'iCoA Register'!$P:$P,0)))+CHOOSE(WEEKDAY(INDEX('iCoA Register'!$F:$F,MATCH(S75,'iCoA Register'!$P:$P,0)),2),0,0,0,0,0,2,1),0),0)))</f>
        <v/>
      </c>
      <c r="E75" s="5">
        <f>IF(ISNUMBER(F75),IF(AND(J75="legacy",F75&lt;=DATE(2026,5,27)),DATE(2026,5,27),MAX(DATE(2026,5,27),(F75+7)+CHOOSE(WEEKDAY(F75+7,2),0,0,0,0,0,2,1))),IF(J75="legacy",DATE(2026,5,27),""))</f>
        <v/>
      </c>
      <c r="F75" s="5" t="n">
        <v>46224</v>
      </c>
      <c r="G75" s="2" t="inlineStr">
        <is>
          <t>ППК26127</t>
        </is>
      </c>
      <c r="H75" s="2">
        <f>IFERROR(INDEX('iCoA Register'!$B:$B,MATCH("P060452|I",'iCoA Register'!$P:$P,0)),"—")</f>
        <v/>
      </c>
      <c r="I75" s="5">
        <f>IFERROR(INDEX('iCoA Register'!$D:$D,MATCH("P060452|I",'iCoA Register'!$P:$P,0)),"")</f>
        <v/>
      </c>
      <c r="J75" s="2" t="inlineStr">
        <is>
          <t>post-SOP</t>
        </is>
      </c>
      <c r="K75" s="2" t="inlineStr">
        <is>
          <t>initial release</t>
        </is>
      </c>
      <c r="L75" s="3" t="inlineStr">
        <is>
          <t>FB032601</t>
        </is>
      </c>
      <c r="M75" s="2" t="inlineStr">
        <is>
          <t>P060452</t>
        </is>
      </c>
      <c r="N75" s="2" t="inlineStr">
        <is>
          <t>FatBastard</t>
        </is>
      </c>
      <c r="O75" s="2" t="inlineStr">
        <is>
          <t>ППК26127, (21.07.2026) [CNP]</t>
        </is>
      </c>
      <c r="P75" s="2" t="inlineStr">
        <is>
          <t>A: ППК26127 / B: ППК26127 / FM: ППК26127</t>
        </is>
      </c>
      <c r="Q75" s="2" t="inlineStr">
        <is>
          <t>—</t>
        </is>
      </c>
      <c r="R75" s="2" t="inlineStr">
        <is>
          <t>(assigned on issue)</t>
        </is>
      </c>
      <c r="S75" s="2" t="inlineStr">
        <is>
          <t>P060452|I</t>
        </is>
      </c>
      <c r="T75" s="7" t="inlineStr">
        <is>
          <t>registered — first working day 7 days after the latest eCoA · initial certificate to locate (CNP): #9, #10, #11, #12</t>
        </is>
      </c>
    </row>
    <row r="76">
      <c r="A76" s="2">
        <f>IF(C76="yes",COUNT(A$1:A75)+1,"")</f>
        <v/>
      </c>
      <c r="B76" s="3">
        <f>IF(A76&lt;&gt;"","CoQ-PP_26-"&amp;TEXT(A76,"000"),"— at issue —")</f>
        <v/>
      </c>
      <c r="C76" s="4" t="inlineStr">
        <is>
          <t>yes</t>
        </is>
      </c>
      <c r="D76" s="5">
        <f>IF(A76="","",MAX(E76,IF(ISNUMBER(I76),I76,0),IFERROR(IF(ISNUMBER(INDEX('iCoA Register'!$F:$F,MATCH(S76,'iCoA Register'!$P:$P,0))),(INDEX('iCoA Register'!$F:$F,MATCH(S76,'iCoA Register'!$P:$P,0)))+CHOOSE(WEEKDAY(INDEX('iCoA Register'!$F:$F,MATCH(S76,'iCoA Register'!$P:$P,0)),2),0,0,0,0,0,2,1),0),0)))</f>
        <v/>
      </c>
      <c r="E76" s="5">
        <f>IF(ISNUMBER(F76),IF(AND(J76="legacy",F76&lt;=DATE(2026,5,27)),DATE(2026,5,27),MAX(DATE(2026,5,27),(F76+7)+CHOOSE(WEEKDAY(F76+7,2),0,0,0,0,0,2,1))),IF(J76="legacy",DATE(2026,5,27),""))</f>
        <v/>
      </c>
      <c r="F76" s="5" t="n">
        <v>46224</v>
      </c>
      <c r="G76" s="2" t="inlineStr">
        <is>
          <t>ППК26128</t>
        </is>
      </c>
      <c r="H76" s="2">
        <f>IFERROR(INDEX('iCoA Register'!$B:$B,MATCH("P060462|I",'iCoA Register'!$P:$P,0)),"—")</f>
        <v/>
      </c>
      <c r="I76" s="5">
        <f>IFERROR(INDEX('iCoA Register'!$D:$D,MATCH("P060462|I",'iCoA Register'!$P:$P,0)),"")</f>
        <v/>
      </c>
      <c r="J76" s="2" t="inlineStr">
        <is>
          <t>post-SOP</t>
        </is>
      </c>
      <c r="K76" s="2" t="inlineStr">
        <is>
          <t>initial release</t>
        </is>
      </c>
      <c r="L76" s="3" t="inlineStr">
        <is>
          <t>GG032601</t>
        </is>
      </c>
      <c r="M76" s="2" t="inlineStr">
        <is>
          <t>P060462</t>
        </is>
      </c>
      <c r="N76" s="2" t="inlineStr">
        <is>
          <t>GorillaGlue</t>
        </is>
      </c>
      <c r="O76" s="2" t="inlineStr">
        <is>
          <t>ППК26128, (21.07.2026) [CNP]</t>
        </is>
      </c>
      <c r="P76" s="2" t="inlineStr">
        <is>
          <t>A: ППК26128 / B: ППК26128 / FM: ППК26128</t>
        </is>
      </c>
      <c r="Q76" s="2" t="inlineStr">
        <is>
          <t>—</t>
        </is>
      </c>
      <c r="R76" s="2" t="inlineStr">
        <is>
          <t>(assigned on issue)</t>
        </is>
      </c>
      <c r="S76" s="2" t="inlineStr">
        <is>
          <t>P060462|I</t>
        </is>
      </c>
      <c r="T76" s="7" t="inlineStr">
        <is>
          <t>registered — first working day 7 days after the latest eCoA · initial certificate to locate (CNP): #9, #10, #11, #12</t>
        </is>
      </c>
    </row>
    <row r="77">
      <c r="A77" s="2">
        <f>IF(C77="yes",COUNT(A$1:A76)+1,"")</f>
        <v/>
      </c>
      <c r="B77" s="3">
        <f>IF(A77&lt;&gt;"","CoQ-PP_26-"&amp;TEXT(A77,"000"),"— at issue —")</f>
        <v/>
      </c>
      <c r="C77" s="4" t="inlineStr">
        <is>
          <t>yes</t>
        </is>
      </c>
      <c r="D77" s="5">
        <f>IF(A77="","",MAX(E77,IF(ISNUMBER(I77),I77,0),IFERROR(IF(ISNUMBER(INDEX('iCoA Register'!$F:$F,MATCH(S77,'iCoA Register'!$P:$P,0))),(INDEX('iCoA Register'!$F:$F,MATCH(S77,'iCoA Register'!$P:$P,0)))+CHOOSE(WEEKDAY(INDEX('iCoA Register'!$F:$F,MATCH(S77,'iCoA Register'!$P:$P,0)),2),0,0,0,0,0,2,1),0),0)))</f>
        <v/>
      </c>
      <c r="E77" s="5">
        <f>IF(ISNUMBER(F77),IF(AND(J77="legacy",F77&lt;=DATE(2026,5,27)),DATE(2026,5,27),MAX(DATE(2026,5,27),(F77+7)+CHOOSE(WEEKDAY(F77+7,2),0,0,0,0,0,2,1))),IF(J77="legacy",DATE(2026,5,27),""))</f>
        <v/>
      </c>
      <c r="F77" s="5" t="n">
        <v>46203</v>
      </c>
      <c r="G77" s="2" t="inlineStr">
        <is>
          <t>ППК26115</t>
        </is>
      </c>
      <c r="H77" s="2">
        <f>IFERROR(INDEX('iCoA Register'!$B:$B,MATCH("P060482|I",'iCoA Register'!$P:$P,0)),"—")</f>
        <v/>
      </c>
      <c r="I77" s="5">
        <f>IFERROR(INDEX('iCoA Register'!$D:$D,MATCH("P060482|I",'iCoA Register'!$P:$P,0)),"")</f>
        <v/>
      </c>
      <c r="J77" s="2" t="inlineStr">
        <is>
          <t>post-SOP</t>
        </is>
      </c>
      <c r="K77" s="2" t="inlineStr">
        <is>
          <t>initial release</t>
        </is>
      </c>
      <c r="L77" s="3" t="inlineStr">
        <is>
          <t>JD022601</t>
        </is>
      </c>
      <c r="M77" s="2" t="inlineStr">
        <is>
          <t>P060482</t>
        </is>
      </c>
      <c r="N77" s="2" t="inlineStr">
        <is>
          <t>JellyDonutz</t>
        </is>
      </c>
      <c r="O77" s="2" t="inlineStr">
        <is>
          <t>ППК26115, (30.06.2026) [CNP]</t>
        </is>
      </c>
      <c r="P77" s="2" t="inlineStr">
        <is>
          <t>A: ППК26115 / B: ППК26115 / FM: ППК26115</t>
        </is>
      </c>
      <c r="Q77" s="2" t="inlineStr">
        <is>
          <t>—</t>
        </is>
      </c>
      <c r="R77" s="2" t="inlineStr">
        <is>
          <t>(assigned on issue)</t>
        </is>
      </c>
      <c r="S77" s="2" t="inlineStr">
        <is>
          <t>P060482|I</t>
        </is>
      </c>
      <c r="T77" s="7" t="inlineStr">
        <is>
          <t>registered — held to the packaging date · initial certificate to locate (CNP): #9, #10, #11, #12</t>
        </is>
      </c>
    </row>
    <row r="78">
      <c r="A78" s="2">
        <f>IF(C78="yes",COUNT(A$1:A77)+1,"")</f>
        <v/>
      </c>
      <c r="B78" s="3">
        <f>IF(A78&lt;&gt;"","CoQ-PP_26-"&amp;TEXT(A78,"000"),"— at issue —")</f>
        <v/>
      </c>
      <c r="C78" s="4" t="inlineStr">
        <is>
          <t>yes</t>
        </is>
      </c>
      <c r="D78" s="5">
        <f>IF(A78="","",MAX(E78,IF(ISNUMBER(I78),I78,0),IFERROR(IF(ISNUMBER(INDEX('iCoA Register'!$F:$F,MATCH(S78,'iCoA Register'!$P:$P,0))),(INDEX('iCoA Register'!$F:$F,MATCH(S78,'iCoA Register'!$P:$P,0)))+CHOOSE(WEEKDAY(INDEX('iCoA Register'!$F:$F,MATCH(S78,'iCoA Register'!$P:$P,0)),2),0,0,0,0,0,2,1),0),0)))</f>
        <v/>
      </c>
      <c r="E78" s="5">
        <f>IF(ISNUMBER(F78),IF(AND(J78="legacy",F78&lt;=DATE(2026,5,27)),DATE(2026,5,27),MAX(DATE(2026,5,27),(F78+7)+CHOOSE(WEEKDAY(F78+7,2),0,0,0,0,0,2,1))),IF(J78="legacy",DATE(2026,5,27),""))</f>
        <v/>
      </c>
      <c r="F78" s="5" t="n">
        <v>46265</v>
      </c>
      <c r="G78" s="2" t="inlineStr">
        <is>
          <t>538-1069-26</t>
        </is>
      </c>
      <c r="H78" s="2">
        <f>IFERROR(INDEX('iCoA Register'!$B:$B,MATCH("P060392|I",'iCoA Register'!$P:$P,0)),"—")</f>
        <v/>
      </c>
      <c r="I78" s="5">
        <f>IFERROR(INDEX('iCoA Register'!$D:$D,MATCH("P060392|I",'iCoA Register'!$P:$P,0)),"")</f>
        <v/>
      </c>
      <c r="J78" s="2" t="inlineStr">
        <is>
          <t>post-SOP</t>
        </is>
      </c>
      <c r="K78" s="2" t="inlineStr">
        <is>
          <t>initial release</t>
        </is>
      </c>
      <c r="L78" s="3" t="inlineStr">
        <is>
          <t>FB012603V</t>
        </is>
      </c>
      <c r="M78" s="2" t="inlineStr">
        <is>
          <t>P060392</t>
        </is>
      </c>
      <c r="N78" s="2" t="inlineStr">
        <is>
          <t>Fat Bastard</t>
        </is>
      </c>
      <c r="O78" s="2" t="inlineStr">
        <is>
          <t>ППК26110, (30.06.2026) [CNP]</t>
        </is>
      </c>
      <c r="P78" s="2" t="inlineStr">
        <is>
          <t>A: ППК26110 / B: ППК26110 / FM: ППК26110</t>
        </is>
      </c>
      <c r="Q78" s="2" t="inlineStr">
        <is>
          <t>—</t>
        </is>
      </c>
      <c r="R78" s="2" t="inlineStr">
        <is>
          <t>(assigned on issue)</t>
        </is>
      </c>
      <c r="S78" s="2" t="inlineStr">
        <is>
          <t>P060392|I</t>
        </is>
      </c>
      <c r="T78" s="7" t="inlineStr">
        <is>
          <t>registered — first working day 7 days after the latest eCoA · initial certificate to locate (CNP): #10, #11, #12</t>
        </is>
      </c>
    </row>
    <row r="79">
      <c r="A79" s="2">
        <f>IF(C79="yes",COUNT(A$1:A78)+1,"")</f>
        <v/>
      </c>
      <c r="B79" s="3">
        <f>IF(A79&lt;&gt;"","CoQ-PP_26-"&amp;TEXT(A79,"000"),"— at issue —")</f>
        <v/>
      </c>
      <c r="C79" s="4" t="inlineStr">
        <is>
          <t>yes</t>
        </is>
      </c>
      <c r="D79" s="5">
        <f>IF(A79="","",MAX(E79,IF(ISNUMBER(I79),I79,0),IFERROR(IF(ISNUMBER(INDEX('iCoA Register'!$F:$F,MATCH(S79,'iCoA Register'!$P:$P,0))),(INDEX('iCoA Register'!$F:$F,MATCH(S79,'iCoA Register'!$P:$P,0)))+CHOOSE(WEEKDAY(INDEX('iCoA Register'!$F:$F,MATCH(S79,'iCoA Register'!$P:$P,0)),2),0,0,0,0,0,2,1),0),0)))</f>
        <v/>
      </c>
      <c r="E79" s="5">
        <f>IF(ISNUMBER(F79),IF(AND(J79="legacy",F79&lt;=DATE(2026,5,27)),DATE(2026,5,27),MAX(DATE(2026,5,27),(F79+7)+CHOOSE(WEEKDAY(F79+7,2),0,0,0,0,0,2,1))),IF(J79="legacy",DATE(2026,5,27),""))</f>
        <v/>
      </c>
      <c r="F79" s="5" t="n">
        <v>46265</v>
      </c>
      <c r="G79" s="2" t="inlineStr">
        <is>
          <t>539-1070-26</t>
        </is>
      </c>
      <c r="H79" s="2">
        <f>IFERROR(INDEX('iCoA Register'!$B:$B,MATCH("P060342|I",'iCoA Register'!$P:$P,0)),"—")</f>
        <v/>
      </c>
      <c r="I79" s="5">
        <f>IFERROR(INDEX('iCoA Register'!$D:$D,MATCH("P060342|I",'iCoA Register'!$P:$P,0)),"")</f>
        <v/>
      </c>
      <c r="J79" s="2" t="inlineStr">
        <is>
          <t>post-SOP</t>
        </is>
      </c>
      <c r="K79" s="2" t="inlineStr">
        <is>
          <t>initial release</t>
        </is>
      </c>
      <c r="L79" s="3" t="inlineStr">
        <is>
          <t>SCR012601* (from the list)</t>
        </is>
      </c>
      <c r="M79" s="2" t="inlineStr">
        <is>
          <t>P060342</t>
        </is>
      </c>
      <c r="N79" s="2" t="inlineStr">
        <is>
          <t>Scrambler</t>
        </is>
      </c>
      <c r="O79" s="6" t="inlineStr">
        <is>
          <t>— no cannabinoid certificate from the initial testing —</t>
        </is>
      </c>
      <c r="P79" s="6" t="inlineStr">
        <is>
          <t>—</t>
        </is>
      </c>
      <c r="Q79" s="2" t="inlineStr">
        <is>
          <t>—</t>
        </is>
      </c>
      <c r="R79" s="2" t="inlineStr">
        <is>
          <t>— not in the issuance plan —</t>
        </is>
      </c>
      <c r="S79" s="2" t="inlineStr">
        <is>
          <t>P060342|I</t>
        </is>
      </c>
      <c r="T79" s="7" t="inlineStr">
        <is>
          <t>registered — first working day 7 days after the latest eCoA · initial certificate to locate (CNP): #3, #4, #5, #6, #8, #10, #11, #12</t>
        </is>
      </c>
    </row>
    <row r="80">
      <c r="A80" s="2">
        <f>IF(C80="yes",COUNT(A$1:A79)+1,"")</f>
        <v/>
      </c>
      <c r="B80" s="3">
        <f>IF(A80&lt;&gt;"","CoQ-PP_26-"&amp;TEXT(A80,"000"),"— at issue —")</f>
        <v/>
      </c>
      <c r="C80" s="4" t="inlineStr">
        <is>
          <t>yes</t>
        </is>
      </c>
      <c r="D80" s="5">
        <f>IF(A80="","",MAX(E80,IF(ISNUMBER(I80),I80,0),IFERROR(IF(ISNUMBER(INDEX('iCoA Register'!$F:$F,MATCH(S80,'iCoA Register'!$P:$P,0))),(INDEX('iCoA Register'!$F:$F,MATCH(S80,'iCoA Register'!$P:$P,0)))+CHOOSE(WEEKDAY(INDEX('iCoA Register'!$F:$F,MATCH(S80,'iCoA Register'!$P:$P,0)),2),0,0,0,0,0,2,1),0),0)))</f>
        <v/>
      </c>
      <c r="E80" s="5">
        <f>IF(ISNUMBER(F80),IF(AND(J80="legacy",F80&lt;=DATE(2026,5,27)),DATE(2026,5,27),MAX(DATE(2026,5,27),(F80+7)+CHOOSE(WEEKDAY(F80+7,2),0,0,0,0,0,2,1))),IF(J80="legacy",DATE(2026,5,27),""))</f>
        <v/>
      </c>
      <c r="F80" s="5" t="n">
        <v>46265</v>
      </c>
      <c r="G80" s="2" t="inlineStr">
        <is>
          <t>537-1068-26</t>
        </is>
      </c>
      <c r="H80" s="2">
        <f>IFERROR(INDEX('iCoA Register'!$B:$B,MATCH("P060432|I",'iCoA Register'!$P:$P,0)),"—")</f>
        <v/>
      </c>
      <c r="I80" s="5">
        <f>IFERROR(INDEX('iCoA Register'!$D:$D,MATCH("P060432|I",'iCoA Register'!$P:$P,0)),"")</f>
        <v/>
      </c>
      <c r="J80" s="2" t="inlineStr">
        <is>
          <t>post-SOP</t>
        </is>
      </c>
      <c r="K80" s="2" t="inlineStr">
        <is>
          <t>initial release</t>
        </is>
      </c>
      <c r="L80" s="3" t="inlineStr">
        <is>
          <t>FB012603</t>
        </is>
      </c>
      <c r="M80" s="2" t="inlineStr">
        <is>
          <t>P060432</t>
        </is>
      </c>
      <c r="N80" s="2" t="inlineStr">
        <is>
          <t>Fat Bastard</t>
        </is>
      </c>
      <c r="O80" s="2" t="inlineStr">
        <is>
          <t>ППК26112, (30.06.2026) [CNP]</t>
        </is>
      </c>
      <c r="P80" s="2" t="inlineStr">
        <is>
          <t>A: ППК26112 / B: ППК26112 / FM: ППК26112</t>
        </is>
      </c>
      <c r="Q80" s="2" t="inlineStr">
        <is>
          <t>—</t>
        </is>
      </c>
      <c r="R80" s="2" t="inlineStr">
        <is>
          <t>(assigned on issue)</t>
        </is>
      </c>
      <c r="S80" s="2" t="inlineStr">
        <is>
          <t>P060432|I</t>
        </is>
      </c>
      <c r="T80" s="7" t="inlineStr">
        <is>
          <t>registered — first working day 7 days after the latest eCoA · initial certificate to locate (CNP): #10, #11, #12</t>
        </is>
      </c>
    </row>
    <row r="81">
      <c r="A81" s="2">
        <f>IF(C81="yes",COUNT(A$1:A80)+1,"")</f>
        <v/>
      </c>
      <c r="B81" s="3">
        <f>IF(A81&lt;&gt;"","CoQ-PP_26-"&amp;TEXT(A81,"000"),"— at issue —")</f>
        <v/>
      </c>
      <c r="C81" s="4" t="inlineStr">
        <is>
          <t>yes</t>
        </is>
      </c>
      <c r="D81" s="5">
        <f>IF(A81="","",MAX(E81,IF(ISNUMBER(I81),I81,0),IFERROR(IF(ISNUMBER(INDEX('iCoA Register'!$F:$F,MATCH(S81,'iCoA Register'!$P:$P,0))),(INDEX('iCoA Register'!$F:$F,MATCH(S81,'iCoA Register'!$P:$P,0)))+CHOOSE(WEEKDAY(INDEX('iCoA Register'!$F:$F,MATCH(S81,'iCoA Register'!$P:$P,0)),2),0,0,0,0,0,2,1),0),0)))</f>
        <v/>
      </c>
      <c r="E81" s="5">
        <f>IF(ISNUMBER(F81),IF(AND(J81="legacy",F81&lt;=DATE(2026,5,27)),DATE(2026,5,27),MAX(DATE(2026,5,27),(F81+7)+CHOOSE(WEEKDAY(F81+7,2),0,0,0,0,0,2,1))),IF(J81="legacy",DATE(2026,5,27),""))</f>
        <v/>
      </c>
      <c r="F81" s="5" t="n">
        <v>46265</v>
      </c>
      <c r="G81" s="2" t="inlineStr">
        <is>
          <t>536-1067-26</t>
        </is>
      </c>
      <c r="H81" s="2">
        <f>IFERROR(INDEX('iCoA Register'!$B:$B,MATCH("P060442|I",'iCoA Register'!$P:$P,0)),"—")</f>
        <v/>
      </c>
      <c r="I81" s="5">
        <f>IFERROR(INDEX('iCoA Register'!$D:$D,MATCH("P060442|I",'iCoA Register'!$P:$P,0)),"")</f>
        <v/>
      </c>
      <c r="J81" s="2" t="inlineStr">
        <is>
          <t>post-SOP</t>
        </is>
      </c>
      <c r="K81" s="2" t="inlineStr">
        <is>
          <t>initial release</t>
        </is>
      </c>
      <c r="L81" s="3" t="inlineStr">
        <is>
          <t>SCR022601</t>
        </is>
      </c>
      <c r="M81" s="2" t="inlineStr">
        <is>
          <t>P060442</t>
        </is>
      </c>
      <c r="N81" s="2" t="inlineStr">
        <is>
          <t>Scrambler</t>
        </is>
      </c>
      <c r="O81" s="2" t="inlineStr">
        <is>
          <t>ППК26116, (06.07.2026) [CNP]</t>
        </is>
      </c>
      <c r="P81" s="2" t="inlineStr">
        <is>
          <t>A: ППК26116 / B: ППК26116 / FM: ППК26116</t>
        </is>
      </c>
      <c r="Q81" s="2" t="inlineStr">
        <is>
          <t>—</t>
        </is>
      </c>
      <c r="R81" s="2" t="inlineStr">
        <is>
          <t>(assigned on issue)</t>
        </is>
      </c>
      <c r="S81" s="2" t="inlineStr">
        <is>
          <t>P060442|I</t>
        </is>
      </c>
      <c r="T81" s="7" t="inlineStr">
        <is>
          <t>registered — first working day 7 days after the latest eCoA · initial certificate to locate (CNP): #10, #11, #12</t>
        </is>
      </c>
    </row>
    <row r="82">
      <c r="A82" s="2">
        <f>IF(C82="yes",COUNT(A$1:A81)+1,"")</f>
        <v/>
      </c>
      <c r="B82" s="3">
        <f>IF(A82&lt;&gt;"","CoQ-PP_26-"&amp;TEXT(A82,"000"),"— at issue —")</f>
        <v/>
      </c>
      <c r="C82" s="6" t="inlineStr">
        <is>
          <t>no</t>
        </is>
      </c>
      <c r="D82" s="5">
        <f>IF(A82="","",MAX(E82,IF(ISNUMBER(I82),I82,0),IFERROR(IF(ISNUMBER(INDEX('iCoA Register'!$F:$F,MATCH(S82,'iCoA Register'!$P:$P,0))),(INDEX('iCoA Register'!$F:$F,MATCH(S82,'iCoA Register'!$P:$P,0)))+CHOOSE(WEEKDAY(INDEX('iCoA Register'!$F:$F,MATCH(S82,'iCoA Register'!$P:$P,0)),2),0,0,0,0,0,2,1),0),0)))</f>
        <v/>
      </c>
      <c r="E82" s="5">
        <f>IF(ISNUMBER(F82),IF(AND(J82="legacy",F82&lt;=DATE(2026,5,27)),DATE(2026,5,27),MAX(DATE(2026,5,27),(F82+7)+CHOOSE(WEEKDAY(F82+7,2),0,0,0,0,0,2,1))),IF(J82="legacy",DATE(2026,5,27),""))</f>
        <v/>
      </c>
      <c r="F82" s="5" t="n">
        <v>46209</v>
      </c>
      <c r="G82" s="2" t="inlineStr">
        <is>
          <t>ППК26117</t>
        </is>
      </c>
      <c r="H82" s="2">
        <f>IFERROR(INDEX('iCoA Register'!$B:$B,MATCH("— not recorded —|I",'iCoA Register'!$P:$P,0)),"—")</f>
        <v/>
      </c>
      <c r="I82" s="5">
        <f>IFERROR(INDEX('iCoA Register'!$D:$D,MATCH("— not recorded —|I",'iCoA Register'!$P:$P,0)),"")</f>
        <v/>
      </c>
      <c r="J82" s="2" t="inlineStr">
        <is>
          <t>—</t>
        </is>
      </c>
      <c r="K82" s="2" t="inlineStr">
        <is>
          <t>initial release</t>
        </is>
      </c>
      <c r="L82" s="3" t="inlineStr">
        <is>
          <t>— not recorded —</t>
        </is>
      </c>
      <c r="M82" s="2" t="inlineStr">
        <is>
          <t>P160012</t>
        </is>
      </c>
      <c r="N82" s="2" t="inlineStr"/>
      <c r="O82" s="2" t="inlineStr">
        <is>
          <t>ППК26117, (06.07.2026) [CNP]</t>
        </is>
      </c>
      <c r="P82" s="2" t="inlineStr">
        <is>
          <t>A: ППК26117 / B: ППК26117 / FM: ППК26117</t>
        </is>
      </c>
      <c r="Q82" s="2" t="inlineStr">
        <is>
          <t>—</t>
        </is>
      </c>
      <c r="R82" s="2" t="inlineStr">
        <is>
          <t>— not in the issuance plan —</t>
        </is>
      </c>
      <c r="S82" s="2" t="inlineStr">
        <is>
          <t>— not recorded —|I</t>
        </is>
      </c>
      <c r="T82" s="9" t="inlineStr">
        <is>
          <t>not yet issuable — no packaging date on the list</t>
        </is>
      </c>
    </row>
    <row r="83">
      <c r="A83" s="2">
        <f>IF(C83="yes",COUNT(A$1:A82)+1,"")</f>
        <v/>
      </c>
      <c r="B83" s="3">
        <f>IF(A83&lt;&gt;"","CoQ-PP_26-"&amp;TEXT(A83,"000"),"— at issue —")</f>
        <v/>
      </c>
      <c r="C83" s="6" t="inlineStr">
        <is>
          <t>no</t>
        </is>
      </c>
      <c r="D83" s="5">
        <f>IF(A83="","",MAX(E83,IF(ISNUMBER(I83),I83,0),IFERROR(IF(ISNUMBER(INDEX('iCoA Register'!$F:$F,MATCH(S83,'iCoA Register'!$P:$P,0))),(INDEX('iCoA Register'!$F:$F,MATCH(S83,'iCoA Register'!$P:$P,0)))+CHOOSE(WEEKDAY(INDEX('iCoA Register'!$F:$F,MATCH(S83,'iCoA Register'!$P:$P,0)),2),0,0,0,0,0,2,1),0),0)))</f>
        <v/>
      </c>
      <c r="E83" s="5">
        <f>IF(ISNUMBER(F83),IF(AND(J83="legacy",F83&lt;=DATE(2026,5,27)),DATE(2026,5,27),MAX(DATE(2026,5,27),(F83+7)+CHOOSE(WEEKDAY(F83+7,2),0,0,0,0,0,2,1))),IF(J83="legacy",DATE(2026,5,27),""))</f>
        <v/>
      </c>
      <c r="F83" s="5" t="n">
        <v>46209</v>
      </c>
      <c r="G83" s="2" t="inlineStr">
        <is>
          <t>ППК26118</t>
        </is>
      </c>
      <c r="H83" s="2">
        <f>IFERROR(INDEX('iCoA Register'!$B:$B,MATCH("— not recorded —|I",'iCoA Register'!$P:$P,0)),"—")</f>
        <v/>
      </c>
      <c r="I83" s="5">
        <f>IFERROR(INDEX('iCoA Register'!$D:$D,MATCH("— not recorded —|I",'iCoA Register'!$P:$P,0)),"")</f>
        <v/>
      </c>
      <c r="J83" s="2" t="inlineStr">
        <is>
          <t>—</t>
        </is>
      </c>
      <c r="K83" s="2" t="inlineStr">
        <is>
          <t>initial release</t>
        </is>
      </c>
      <c r="L83" s="3" t="inlineStr">
        <is>
          <t>— not recorded —</t>
        </is>
      </c>
      <c r="M83" s="2" t="inlineStr">
        <is>
          <t>P160022</t>
        </is>
      </c>
      <c r="N83" s="2" t="inlineStr"/>
      <c r="O83" s="2" t="inlineStr">
        <is>
          <t>ППК26118, (06.07.2026) [CNP]</t>
        </is>
      </c>
      <c r="P83" s="2" t="inlineStr">
        <is>
          <t>A: ППК26118 / B: ППК26118 / FM: ППК26118</t>
        </is>
      </c>
      <c r="Q83" s="2" t="inlineStr">
        <is>
          <t>—</t>
        </is>
      </c>
      <c r="R83" s="2" t="inlineStr">
        <is>
          <t>— not in the issuance plan —</t>
        </is>
      </c>
      <c r="S83" s="2" t="inlineStr">
        <is>
          <t>— not recorded —|I</t>
        </is>
      </c>
      <c r="T83" s="9" t="inlineStr">
        <is>
          <t>not yet issuable — no packaging date on the list</t>
        </is>
      </c>
    </row>
    <row r="84">
      <c r="A84" s="2">
        <f>IF(C84="yes",COUNT(A$1:A83)+1,"")</f>
        <v/>
      </c>
      <c r="B84" s="3">
        <f>IF(A84&lt;&gt;"","CoQ-PP_26-"&amp;TEXT(A84,"000"),"— at issue —")</f>
        <v/>
      </c>
      <c r="C84" s="6" t="inlineStr">
        <is>
          <t>no</t>
        </is>
      </c>
      <c r="D84" s="5">
        <f>IF(A84="","",MAX(E84,IF(ISNUMBER(I84),I84,0),IFERROR(IF(ISNUMBER(INDEX('iCoA Register'!$F:$F,MATCH(S84,'iCoA Register'!$P:$P,0))),(INDEX('iCoA Register'!$F:$F,MATCH(S84,'iCoA Register'!$P:$P,0)))+CHOOSE(WEEKDAY(INDEX('iCoA Register'!$F:$F,MATCH(S84,'iCoA Register'!$P:$P,0)),2),0,0,0,0,0,2,1),0),0)))</f>
        <v/>
      </c>
      <c r="E84" s="5">
        <f>IF(ISNUMBER(F84),IF(AND(J84="legacy",F84&lt;=DATE(2026,5,27)),DATE(2026,5,27),MAX(DATE(2026,5,27),(F84+7)+CHOOSE(WEEKDAY(F84+7,2),0,0,0,0,0,2,1))),IF(J84="legacy",DATE(2026,5,27),""))</f>
        <v/>
      </c>
      <c r="F84" s="5" t="n">
        <v>46209</v>
      </c>
      <c r="G84" s="2" t="inlineStr">
        <is>
          <t>ППК26119</t>
        </is>
      </c>
      <c r="H84" s="2">
        <f>IFERROR(INDEX('iCoA Register'!$B:$B,MATCH("— not recorded —|I",'iCoA Register'!$P:$P,0)),"—")</f>
        <v/>
      </c>
      <c r="I84" s="5">
        <f>IFERROR(INDEX('iCoA Register'!$D:$D,MATCH("— not recorded —|I",'iCoA Register'!$P:$P,0)),"")</f>
        <v/>
      </c>
      <c r="J84" s="2" t="inlineStr">
        <is>
          <t>—</t>
        </is>
      </c>
      <c r="K84" s="2" t="inlineStr">
        <is>
          <t>initial release</t>
        </is>
      </c>
      <c r="L84" s="3" t="inlineStr">
        <is>
          <t>— not recorded —</t>
        </is>
      </c>
      <c r="M84" s="2" t="inlineStr">
        <is>
          <t>P160032</t>
        </is>
      </c>
      <c r="N84" s="2" t="inlineStr"/>
      <c r="O84" s="2" t="inlineStr">
        <is>
          <t>ППК26119, (06.07.2026) [CNP]</t>
        </is>
      </c>
      <c r="P84" s="2" t="inlineStr">
        <is>
          <t>A: ППК26119 / B: ППК26119 / FM: ППК26119</t>
        </is>
      </c>
      <c r="Q84" s="2" t="inlineStr">
        <is>
          <t>—</t>
        </is>
      </c>
      <c r="R84" s="2" t="inlineStr">
        <is>
          <t>— not in the issuance plan —</t>
        </is>
      </c>
      <c r="S84" s="2" t="inlineStr">
        <is>
          <t>— not recorded —|I</t>
        </is>
      </c>
      <c r="T84" s="9" t="inlineStr">
        <is>
          <t>not yet issuable — no packaging date on the list</t>
        </is>
      </c>
    </row>
    <row r="85">
      <c r="A85" s="2">
        <f>IF(C85="yes",COUNT(A$1:A84)+1,"")</f>
        <v/>
      </c>
      <c r="B85" s="3">
        <f>IF(A85&lt;&gt;"","CoQ-PP_26-"&amp;TEXT(A85,"000"),"— at issue —")</f>
        <v/>
      </c>
      <c r="C85" s="6" t="inlineStr">
        <is>
          <t>no</t>
        </is>
      </c>
      <c r="D85" s="5">
        <f>IF(A85="","",MAX(E85,IF(ISNUMBER(I85),I85,0),IFERROR(IF(ISNUMBER(INDEX('iCoA Register'!$F:$F,MATCH(S85,'iCoA Register'!$P:$P,0))),(INDEX('iCoA Register'!$F:$F,MATCH(S85,'iCoA Register'!$P:$P,0)))+CHOOSE(WEEKDAY(INDEX('iCoA Register'!$F:$F,MATCH(S85,'iCoA Register'!$P:$P,0)),2),0,0,0,0,0,2,1),0),0)))</f>
        <v/>
      </c>
      <c r="E85" s="5">
        <f>IF(ISNUMBER(F85),MAX(DATE(2026,5,27),(F85+7)+CHOOSE(WEEKDAY(F85+7,2),0,0,0,0,0,2,1)),"at retest sampling")</f>
        <v/>
      </c>
      <c r="F85" s="5" t="n">
        <v>46266</v>
      </c>
      <c r="G85" s="2" t="inlineStr">
        <is>
          <t>565-1096-26</t>
        </is>
      </c>
      <c r="H85" s="2">
        <f>IFERROR(INDEX('iCoA Register'!$B:$B,MATCH("CJ1024|R",'iCoA Register'!$P:$P,0)),"—")</f>
        <v/>
      </c>
      <c r="I85" s="5">
        <f>IFERROR(INDEX('iCoA Register'!$D:$D,MATCH("CJ1024|R",'iCoA Register'!$P:$P,0)),"")</f>
        <v/>
      </c>
      <c r="J85" s="2" t="inlineStr">
        <is>
          <t>legacy</t>
        </is>
      </c>
      <c r="K85" s="2" t="inlineStr">
        <is>
          <t>retest — sampled — Tranche 2/3 (potency and mycotoxins pending)</t>
        </is>
      </c>
      <c r="L85" s="3" t="inlineStr">
        <is>
          <t>CJ1024</t>
        </is>
      </c>
      <c r="M85" s="2" t="inlineStr">
        <is>
          <t>N/A — no P batch assigned</t>
        </is>
      </c>
      <c r="N85" s="2" t="inlineStr">
        <is>
          <t>Cap Junky</t>
        </is>
      </c>
      <c r="O85" s="6" t="inlineStr">
        <is>
          <t>— retest assay not yet on file —</t>
        </is>
      </c>
      <c r="P85" s="6" t="inlineStr">
        <is>
          <t>—</t>
        </is>
      </c>
      <c r="Q85" s="2" t="inlineStr">
        <is>
          <t>—</t>
        </is>
      </c>
      <c r="R85" s="2" t="inlineStr">
        <is>
          <t>CoQ reissue (assigned on issue)</t>
        </is>
      </c>
      <c r="S85" s="2" t="inlineStr">
        <is>
          <t>CJ1024|R</t>
        </is>
      </c>
      <c r="T85" s="9" t="inlineStr">
        <is>
          <t>not yet issuable — sampled — microbiology on file, retest assay pending · issued on the first working day 7 days after the latest retest certificate, once the in-house iCoA exists</t>
        </is>
      </c>
    </row>
    <row r="86">
      <c r="A86" s="2">
        <f>IF(C86="yes",COUNT(A$1:A85)+1,"")</f>
        <v/>
      </c>
      <c r="B86" s="3">
        <f>IF(A86&lt;&gt;"","CoQ-PP_26-"&amp;TEXT(A86,"000"),"— at issue —")</f>
        <v/>
      </c>
      <c r="C86" s="6" t="inlineStr">
        <is>
          <t>no</t>
        </is>
      </c>
      <c r="D86" s="5">
        <f>IF(A86="","",MAX(E86,IF(ISNUMBER(I86),I86,0),IFERROR(IF(ISNUMBER(INDEX('iCoA Register'!$F:$F,MATCH(S86,'iCoA Register'!$P:$P,0))),(INDEX('iCoA Register'!$F:$F,MATCH(S86,'iCoA Register'!$P:$P,0)))+CHOOSE(WEEKDAY(INDEX('iCoA Register'!$F:$F,MATCH(S86,'iCoA Register'!$P:$P,0)),2),0,0,0,0,0,2,1),0),0)))</f>
        <v/>
      </c>
      <c r="E86" s="5">
        <f>IF(ISNUMBER(F86),MAX(DATE(2026,5,27),(F86+7)+CHOOSE(WEEKDAY(F86+7,2),0,0,0,0,0,2,1)),"at retest sampling")</f>
        <v/>
      </c>
      <c r="F86" s="5" t="n">
        <v>46244</v>
      </c>
      <c r="G86" s="2" t="inlineStr">
        <is>
          <t>197-2-M-26</t>
        </is>
      </c>
      <c r="H86" s="2">
        <f>IFERROR(INDEX('iCoA Register'!$B:$B,MATCH("BSS1024|R",'iCoA Register'!$P:$P,0)),"—")</f>
        <v/>
      </c>
      <c r="I86" s="5">
        <f>IFERROR(INDEX('iCoA Register'!$D:$D,MATCH("BSS1024|R",'iCoA Register'!$P:$P,0)),"")</f>
        <v/>
      </c>
      <c r="J86" s="2" t="inlineStr">
        <is>
          <t>legacy</t>
        </is>
      </c>
      <c r="K86" s="2" t="inlineStr">
        <is>
          <t>retest — Tranche 1 (sampled July 2026)</t>
        </is>
      </c>
      <c r="L86" s="3" t="inlineStr">
        <is>
          <t>BSS1024</t>
        </is>
      </c>
      <c r="M86" s="2" t="inlineStr">
        <is>
          <t>N/A — no P batch assigned</t>
        </is>
      </c>
      <c r="N86" s="2" t="inlineStr">
        <is>
          <t>Blue Sunset Sherbet</t>
        </is>
      </c>
      <c r="O86" s="2" t="inlineStr">
        <is>
          <t>197-2-K-26, (07.08.2026) [FHM-K]</t>
        </is>
      </c>
      <c r="P86" s="6" t="inlineStr">
        <is>
          <t>—</t>
        </is>
      </c>
      <c r="Q86" s="2" t="inlineStr">
        <is>
          <t>—</t>
        </is>
      </c>
      <c r="R86" s="2" t="inlineStr">
        <is>
          <t>CoQ-PP-2026-0027</t>
        </is>
      </c>
      <c r="S86" s="2" t="inlineStr">
        <is>
          <t>BSS1024|R</t>
        </is>
      </c>
      <c r="T86" s="9" t="inlineStr">
        <is>
          <t>not yet issuable — due — retest assay, mycotoxins on file; in-house iCoA to test · issued on the first working day 7 days after the latest retest certificate, once the in-house iCoA exists</t>
        </is>
      </c>
    </row>
    <row r="87">
      <c r="A87" s="2">
        <f>IF(C87="yes",COUNT(A$1:A86)+1,"")</f>
        <v/>
      </c>
      <c r="B87" s="3">
        <f>IF(A87&lt;&gt;"","CoQ-PP_26-"&amp;TEXT(A87,"000"),"— at issue —")</f>
        <v/>
      </c>
      <c r="C87" s="6" t="inlineStr">
        <is>
          <t>no</t>
        </is>
      </c>
      <c r="D87" s="5">
        <f>IF(A87="","",MAX(E87,IF(ISNUMBER(I87),I87,0),IFERROR(IF(ISNUMBER(INDEX('iCoA Register'!$F:$F,MATCH(S87,'iCoA Register'!$P:$P,0))),(INDEX('iCoA Register'!$F:$F,MATCH(S87,'iCoA Register'!$P:$P,0)))+CHOOSE(WEEKDAY(INDEX('iCoA Register'!$F:$F,MATCH(S87,'iCoA Register'!$P:$P,0)),2),0,0,0,0,0,2,1),0),0)))</f>
        <v/>
      </c>
      <c r="E87" s="5">
        <f>IF(ISNUMBER(F87),MAX(DATE(2026,5,27),(F87+7)+CHOOSE(WEEKDAY(F87+7,2),0,0,0,0,0,2,1)),"at retest sampling")</f>
        <v/>
      </c>
      <c r="F87" s="5" t="n">
        <v>46244</v>
      </c>
      <c r="G87" s="2" t="inlineStr">
        <is>
          <t>197-1-M-26</t>
        </is>
      </c>
      <c r="H87" s="2">
        <f>IFERROR(INDEX('iCoA Register'!$B:$B,MATCH("BG1024|R",'iCoA Register'!$P:$P,0)),"—")</f>
        <v/>
      </c>
      <c r="I87" s="5">
        <f>IFERROR(INDEX('iCoA Register'!$D:$D,MATCH("BG1024|R",'iCoA Register'!$P:$P,0)),"")</f>
        <v/>
      </c>
      <c r="J87" s="2" t="inlineStr">
        <is>
          <t>legacy</t>
        </is>
      </c>
      <c r="K87" s="2" t="inlineStr">
        <is>
          <t>retest — Tranche 1 (sampled July 2026)</t>
        </is>
      </c>
      <c r="L87" s="3" t="inlineStr">
        <is>
          <t>BG1024</t>
        </is>
      </c>
      <c r="M87" s="2" t="inlineStr">
        <is>
          <t>N/A — no P batch assigned</t>
        </is>
      </c>
      <c r="N87" s="2" t="inlineStr">
        <is>
          <t>Blue Gelato</t>
        </is>
      </c>
      <c r="O87" s="2" t="inlineStr">
        <is>
          <t>197-1-K-26, (07.08.2026) [FHM-K]</t>
        </is>
      </c>
      <c r="P87" s="6" t="inlineStr">
        <is>
          <t>—</t>
        </is>
      </c>
      <c r="Q87" s="2" t="inlineStr">
        <is>
          <t>—</t>
        </is>
      </c>
      <c r="R87" s="2" t="inlineStr">
        <is>
          <t>CoQ-PP-2026-0028</t>
        </is>
      </c>
      <c r="S87" s="2" t="inlineStr">
        <is>
          <t>BG1024|R</t>
        </is>
      </c>
      <c r="T87" s="9" t="inlineStr">
        <is>
          <t>not yet issuable — due — retest assay, mycotoxins on file; in-house iCoA to test · issued on the first working day 7 days after the latest retest certificate, once the in-house iCoA exists</t>
        </is>
      </c>
    </row>
    <row r="88">
      <c r="A88" s="2">
        <f>IF(C88="yes",COUNT(A$1:A87)+1,"")</f>
        <v/>
      </c>
      <c r="B88" s="3">
        <f>IF(A88&lt;&gt;"","CoQ-PP_26-"&amp;TEXT(A88,"000"),"— at issue —")</f>
        <v/>
      </c>
      <c r="C88" s="6" t="inlineStr">
        <is>
          <t>no</t>
        </is>
      </c>
      <c r="D88" s="5">
        <f>IF(A88="","",MAX(E88,IF(ISNUMBER(I88),I88,0),IFERROR(IF(ISNUMBER(INDEX('iCoA Register'!$F:$F,MATCH(S88,'iCoA Register'!$P:$P,0))),(INDEX('iCoA Register'!$F:$F,MATCH(S88,'iCoA Register'!$P:$P,0)))+CHOOSE(WEEKDAY(INDEX('iCoA Register'!$F:$F,MATCH(S88,'iCoA Register'!$P:$P,0)),2),0,0,0,0,0,2,1),0),0)))</f>
        <v/>
      </c>
      <c r="E88" s="5">
        <f>IF(ISNUMBER(F88),MAX(DATE(2026,5,27),(F88+7)+CHOOSE(WEEKDAY(F88+7,2),0,0,0,0,0,2,1)),"at retest sampling")</f>
        <v/>
      </c>
      <c r="F88" s="5" t="inlineStr">
        <is>
          <t>— not yet sampled —</t>
        </is>
      </c>
      <c r="G88" s="2" t="inlineStr">
        <is>
          <t>—</t>
        </is>
      </c>
      <c r="H88" s="2">
        <f>IFERROR(INDEX('iCoA Register'!$B:$B,MATCH("GG1024|R",'iCoA Register'!$P:$P,0)),"—")</f>
        <v/>
      </c>
      <c r="I88" s="5">
        <f>IFERROR(INDEX('iCoA Register'!$D:$D,MATCH("GG1024|R",'iCoA Register'!$P:$P,0)),"")</f>
        <v/>
      </c>
      <c r="J88" s="2" t="inlineStr">
        <is>
          <t>legacy</t>
        </is>
      </c>
      <c r="K88" s="2" t="inlineStr">
        <is>
          <t>retest — not yet sampled</t>
        </is>
      </c>
      <c r="L88" s="3" t="inlineStr">
        <is>
          <t>GG1024</t>
        </is>
      </c>
      <c r="M88" s="2" t="inlineStr">
        <is>
          <t>N/A — no P batch assigned</t>
        </is>
      </c>
      <c r="N88" s="2" t="inlineStr">
        <is>
          <t>Gorilla Glue</t>
        </is>
      </c>
      <c r="O88" s="6" t="inlineStr">
        <is>
          <t>— retest assay not yet on file —</t>
        </is>
      </c>
      <c r="P88" s="6" t="inlineStr">
        <is>
          <t>—</t>
        </is>
      </c>
      <c r="Q88" s="2" t="inlineStr">
        <is>
          <t>—</t>
        </is>
      </c>
      <c r="R88" s="2" t="inlineStr">
        <is>
          <t>CoQ-PP-2026-0029</t>
        </is>
      </c>
      <c r="S88" s="2" t="inlineStr">
        <is>
          <t>GG1024|R</t>
        </is>
      </c>
      <c r="T88" s="9" t="inlineStr">
        <is>
          <t>not yet issuable — pending — not yet sampled · issued on the first working day 7 days after the latest retest certificate, once the in-house iCoA exists</t>
        </is>
      </c>
    </row>
    <row r="89">
      <c r="A89" s="2">
        <f>IF(C89="yes",COUNT(A$1:A88)+1,"")</f>
        <v/>
      </c>
      <c r="B89" s="3">
        <f>IF(A89&lt;&gt;"","CoQ-PP_26-"&amp;TEXT(A89,"000"),"— at issue —")</f>
        <v/>
      </c>
      <c r="C89" s="6" t="inlineStr">
        <is>
          <t>no</t>
        </is>
      </c>
      <c r="D89" s="5">
        <f>IF(A89="","",MAX(E89,IF(ISNUMBER(I89),I89,0),IFERROR(IF(ISNUMBER(INDEX('iCoA Register'!$F:$F,MATCH(S89,'iCoA Register'!$P:$P,0))),(INDEX('iCoA Register'!$F:$F,MATCH(S89,'iCoA Register'!$P:$P,0)))+CHOOSE(WEEKDAY(INDEX('iCoA Register'!$F:$F,MATCH(S89,'iCoA Register'!$P:$P,0)),2),0,0,0,0,0,2,1),0),0)))</f>
        <v/>
      </c>
      <c r="E89" s="5">
        <f>IF(ISNUMBER(F89),MAX(DATE(2026,5,27),(F89+7)+CHOOSE(WEEKDAY(F89+7,2),0,0,0,0,0,2,1)),"at retest sampling")</f>
        <v/>
      </c>
      <c r="F89" s="5" t="n">
        <v>46244</v>
      </c>
      <c r="G89" s="2" t="inlineStr">
        <is>
          <t>197-13-M-26</t>
        </is>
      </c>
      <c r="H89" s="2">
        <f>IFERROR(INDEX('iCoA Register'!$B:$B,MATCH("HPA1024|R",'iCoA Register'!$P:$P,0)),"—")</f>
        <v/>
      </c>
      <c r="I89" s="5">
        <f>IFERROR(INDEX('iCoA Register'!$D:$D,MATCH("HPA1024|R",'iCoA Register'!$P:$P,0)),"")</f>
        <v/>
      </c>
      <c r="J89" s="2" t="inlineStr">
        <is>
          <t>legacy</t>
        </is>
      </c>
      <c r="K89" s="2" t="inlineStr">
        <is>
          <t>retest — Tranche 1 (sampled July 2026)</t>
        </is>
      </c>
      <c r="L89" s="3" t="inlineStr">
        <is>
          <t>HPA1024</t>
        </is>
      </c>
      <c r="M89" s="2" t="inlineStr">
        <is>
          <t>N/A — no P batch assigned</t>
        </is>
      </c>
      <c r="N89" s="2" t="inlineStr">
        <is>
          <t>HighProAmnesia</t>
        </is>
      </c>
      <c r="O89" s="2" t="inlineStr">
        <is>
          <t>197-13-K-26, (07.08.2026) [FHM-K]</t>
        </is>
      </c>
      <c r="P89" s="6" t="inlineStr">
        <is>
          <t>—</t>
        </is>
      </c>
      <c r="Q89" s="2" t="inlineStr">
        <is>
          <t>—</t>
        </is>
      </c>
      <c r="R89" s="2" t="inlineStr">
        <is>
          <t>CoQ-PP-2026-0030</t>
        </is>
      </c>
      <c r="S89" s="2" t="inlineStr">
        <is>
          <t>HPA1024|R</t>
        </is>
      </c>
      <c r="T89" s="9" t="inlineStr">
        <is>
          <t>not yet issuable — due — retest assay, mycotoxins on file; in-house iCoA to test · issued on the first working day 7 days after the latest retest certificate, once the in-house iCoA exists</t>
        </is>
      </c>
    </row>
    <row r="90">
      <c r="A90" s="2">
        <f>IF(C90="yes",COUNT(A$1:A89)+1,"")</f>
        <v/>
      </c>
      <c r="B90" s="3">
        <f>IF(A90&lt;&gt;"","CoQ-PP_26-"&amp;TEXT(A90,"000"),"— at issue —")</f>
        <v/>
      </c>
      <c r="C90" s="6" t="inlineStr">
        <is>
          <t>no</t>
        </is>
      </c>
      <c r="D90" s="5">
        <f>IF(A90="","",MAX(E90,IF(ISNUMBER(I90),I90,0),IFERROR(IF(ISNUMBER(INDEX('iCoA Register'!$F:$F,MATCH(S90,'iCoA Register'!$P:$P,0))),(INDEX('iCoA Register'!$F:$F,MATCH(S90,'iCoA Register'!$P:$P,0)))+CHOOSE(WEEKDAY(INDEX('iCoA Register'!$F:$F,MATCH(S90,'iCoA Register'!$P:$P,0)),2),0,0,0,0,0,2,1),0),0)))</f>
        <v/>
      </c>
      <c r="E90" s="5">
        <f>IF(ISNUMBER(F90),MAX(DATE(2026,5,27),(F90+7)+CHOOSE(WEEKDAY(F90+7,2),0,0,0,0,0,2,1)),"at retest sampling")</f>
        <v/>
      </c>
      <c r="F90" s="5" t="n">
        <v>46266</v>
      </c>
      <c r="G90" s="2" t="inlineStr">
        <is>
          <t>562-1093-26</t>
        </is>
      </c>
      <c r="H90" s="2">
        <f>IFERROR(INDEX('iCoA Register'!$B:$B,MATCH("P050102|R",'iCoA Register'!$P:$P,0)),"—")</f>
        <v/>
      </c>
      <c r="I90" s="5">
        <f>IFERROR(INDEX('iCoA Register'!$D:$D,MATCH("P050102|R",'iCoA Register'!$P:$P,0)),"")</f>
        <v/>
      </c>
      <c r="J90" s="2" t="inlineStr">
        <is>
          <t>legacy</t>
        </is>
      </c>
      <c r="K90" s="2" t="inlineStr">
        <is>
          <t>retest — sampled — Tranche 2/3 (potency and mycotoxins pending)</t>
        </is>
      </c>
      <c r="L90" s="3" t="inlineStr">
        <is>
          <t>GP0824_01</t>
        </is>
      </c>
      <c r="M90" s="2" t="inlineStr">
        <is>
          <t>P050102</t>
        </is>
      </c>
      <c r="N90" s="2" t="inlineStr">
        <is>
          <t>Grape Pie</t>
        </is>
      </c>
      <c r="O90" s="6" t="inlineStr">
        <is>
          <t>— retest assay not yet on file —</t>
        </is>
      </c>
      <c r="P90" s="6" t="inlineStr">
        <is>
          <t>—</t>
        </is>
      </c>
      <c r="Q90" s="2" t="inlineStr">
        <is>
          <t>—</t>
        </is>
      </c>
      <c r="R90" s="2" t="inlineStr">
        <is>
          <t>CoQ reissue (assigned on issue)</t>
        </is>
      </c>
      <c r="S90" s="2" t="inlineStr">
        <is>
          <t>P050102|R</t>
        </is>
      </c>
      <c r="T90" s="9" t="inlineStr">
        <is>
          <t>not yet issuable — sampled — microbiology on file, retest assay pending · issued on the first working day 7 days after the latest retest certificate, once the in-house iCoA exists</t>
        </is>
      </c>
    </row>
    <row r="91">
      <c r="A91" s="2">
        <f>IF(C91="yes",COUNT(A$1:A90)+1,"")</f>
        <v/>
      </c>
      <c r="B91" s="3">
        <f>IF(A91&lt;&gt;"","CoQ-PP_26-"&amp;TEXT(A91,"000"),"— at issue —")</f>
        <v/>
      </c>
      <c r="C91" s="6" t="inlineStr">
        <is>
          <t>no</t>
        </is>
      </c>
      <c r="D91" s="5">
        <f>IF(A91="","",MAX(E91,IF(ISNUMBER(I91),I91,0),IFERROR(IF(ISNUMBER(INDEX('iCoA Register'!$F:$F,MATCH(S91,'iCoA Register'!$P:$P,0))),(INDEX('iCoA Register'!$F:$F,MATCH(S91,'iCoA Register'!$P:$P,0)))+CHOOSE(WEEKDAY(INDEX('iCoA Register'!$F:$F,MATCH(S91,'iCoA Register'!$P:$P,0)),2),0,0,0,0,0,2,1),0),0)))</f>
        <v/>
      </c>
      <c r="E91" s="5">
        <f>IF(ISNUMBER(F91),MAX(DATE(2026,5,27),(F91+7)+CHOOSE(WEEKDAY(F91+7,2),0,0,0,0,0,2,1)),"at retest sampling")</f>
        <v/>
      </c>
      <c r="F91" s="5" t="n">
        <v>46244</v>
      </c>
      <c r="G91" s="2" t="inlineStr">
        <is>
          <t>197-17-M-26</t>
        </is>
      </c>
      <c r="H91" s="2">
        <f>IFERROR(INDEX('iCoA Register'!$B:$B,MATCH("OPM1024|R",'iCoA Register'!$P:$P,0)),"—")</f>
        <v/>
      </c>
      <c r="I91" s="5">
        <f>IFERROR(INDEX('iCoA Register'!$D:$D,MATCH("OPM1024|R",'iCoA Register'!$P:$P,0)),"")</f>
        <v/>
      </c>
      <c r="J91" s="2" t="inlineStr">
        <is>
          <t>legacy</t>
        </is>
      </c>
      <c r="K91" s="2" t="inlineStr">
        <is>
          <t>retest — Tranche 1 (sampled July 2026)</t>
        </is>
      </c>
      <c r="L91" s="3" t="inlineStr">
        <is>
          <t>OPM1024</t>
        </is>
      </c>
      <c r="M91" s="2" t="inlineStr">
        <is>
          <t>N/A — no P batch assigned</t>
        </is>
      </c>
      <c r="N91" s="2" t="inlineStr">
        <is>
          <t>OrangePunchMimosa</t>
        </is>
      </c>
      <c r="O91" s="2" t="inlineStr">
        <is>
          <t>197-17-K-26, (07.08.2026) [FHM-K]</t>
        </is>
      </c>
      <c r="P91" s="6" t="inlineStr">
        <is>
          <t>—</t>
        </is>
      </c>
      <c r="Q91" s="2" t="inlineStr">
        <is>
          <t>—</t>
        </is>
      </c>
      <c r="R91" s="2" t="inlineStr">
        <is>
          <t>CoQ-PP-2026-0031</t>
        </is>
      </c>
      <c r="S91" s="2" t="inlineStr">
        <is>
          <t>OPM1024|R</t>
        </is>
      </c>
      <c r="T91" s="9" t="inlineStr">
        <is>
          <t>not yet issuable — due — retest assay, mycotoxins on file; in-house iCoA to test · issued on the first working day 7 days after the latest retest certificate, once the in-house iCoA exists</t>
        </is>
      </c>
    </row>
    <row r="92">
      <c r="A92" s="2">
        <f>IF(C92="yes",COUNT(A$1:A91)+1,"")</f>
        <v/>
      </c>
      <c r="B92" s="3">
        <f>IF(A92&lt;&gt;"","CoQ-PP_26-"&amp;TEXT(A92,"000"),"— at issue —")</f>
        <v/>
      </c>
      <c r="C92" s="6" t="inlineStr">
        <is>
          <t>no</t>
        </is>
      </c>
      <c r="D92" s="5">
        <f>IF(A92="","",MAX(E92,IF(ISNUMBER(I92),I92,0),IFERROR(IF(ISNUMBER(INDEX('iCoA Register'!$F:$F,MATCH(S92,'iCoA Register'!$P:$P,0))),(INDEX('iCoA Register'!$F:$F,MATCH(S92,'iCoA Register'!$P:$P,0)))+CHOOSE(WEEKDAY(INDEX('iCoA Register'!$F:$F,MATCH(S92,'iCoA Register'!$P:$P,0)),2),0,0,0,0,0,2,1),0),0)))</f>
        <v/>
      </c>
      <c r="E92" s="5">
        <f>IF(ISNUMBER(F92),MAX(DATE(2026,5,27),(F92+7)+CHOOSE(WEEKDAY(F92+7,2),0,0,0,0,0,2,1)),"at retest sampling")</f>
        <v/>
      </c>
      <c r="F92" s="5" t="n">
        <v>46266</v>
      </c>
      <c r="G92" s="2" t="inlineStr">
        <is>
          <t>563-1094-26</t>
        </is>
      </c>
      <c r="H92" s="2">
        <f>IFERROR(INDEX('iCoA Register'!$B:$B,MATCH("P050032|R",'iCoA Register'!$P:$P,0)),"—")</f>
        <v/>
      </c>
      <c r="I92" s="5">
        <f>IFERROR(INDEX('iCoA Register'!$D:$D,MATCH("P050032|R",'iCoA Register'!$P:$P,0)),"")</f>
        <v/>
      </c>
      <c r="J92" s="2" t="inlineStr">
        <is>
          <t>legacy</t>
        </is>
      </c>
      <c r="K92" s="2" t="inlineStr">
        <is>
          <t>retest — sampled — Tranche 2/3 (potency and mycotoxins pending)</t>
        </is>
      </c>
      <c r="L92" s="3" t="inlineStr">
        <is>
          <t>MB0824_04</t>
        </is>
      </c>
      <c r="M92" s="2" t="inlineStr">
        <is>
          <t>P050032</t>
        </is>
      </c>
      <c r="N92" s="2" t="inlineStr">
        <is>
          <t>Motor Breath</t>
        </is>
      </c>
      <c r="O92" s="6" t="inlineStr">
        <is>
          <t>— retest assay not yet on file —</t>
        </is>
      </c>
      <c r="P92" s="6" t="inlineStr">
        <is>
          <t>—</t>
        </is>
      </c>
      <c r="Q92" s="2" t="inlineStr">
        <is>
          <t>—</t>
        </is>
      </c>
      <c r="R92" s="2" t="inlineStr">
        <is>
          <t>CoQ reissue (assigned on issue)</t>
        </is>
      </c>
      <c r="S92" s="2" t="inlineStr">
        <is>
          <t>P050032|R</t>
        </is>
      </c>
      <c r="T92" s="9" t="inlineStr">
        <is>
          <t>not yet issuable — sampled — microbiology on file, retest assay pending · issued on the first working day 7 days after the latest retest certificate, once the in-house iCoA exists</t>
        </is>
      </c>
    </row>
    <row r="93">
      <c r="A93" s="2">
        <f>IF(C93="yes",COUNT(A$1:A92)+1,"")</f>
        <v/>
      </c>
      <c r="B93" s="3">
        <f>IF(A93&lt;&gt;"","CoQ-PP_26-"&amp;TEXT(A93,"000"),"— at issue —")</f>
        <v/>
      </c>
      <c r="C93" s="6" t="inlineStr">
        <is>
          <t>no</t>
        </is>
      </c>
      <c r="D93" s="5">
        <f>IF(A93="","",MAX(E93,IF(ISNUMBER(I93),I93,0),IFERROR(IF(ISNUMBER(INDEX('iCoA Register'!$F:$F,MATCH(S93,'iCoA Register'!$P:$P,0))),(INDEX('iCoA Register'!$F:$F,MATCH(S93,'iCoA Register'!$P:$P,0)))+CHOOSE(WEEKDAY(INDEX('iCoA Register'!$F:$F,MATCH(S93,'iCoA Register'!$P:$P,0)),2),0,0,0,0,0,2,1),0),0)))</f>
        <v/>
      </c>
      <c r="E93" s="5">
        <f>IF(ISNUMBER(F93),MAX(DATE(2026,5,27),(F93+7)+CHOOSE(WEEKDAY(F93+7,2),0,0,0,0,0,2,1)),"at retest sampling")</f>
        <v/>
      </c>
      <c r="F93" s="5" t="n">
        <v>46266</v>
      </c>
      <c r="G93" s="2" t="inlineStr">
        <is>
          <t>564-1095-26</t>
        </is>
      </c>
      <c r="H93" s="2">
        <f>IFERROR(INDEX('iCoA Register'!$B:$B,MATCH("P050012|R",'iCoA Register'!$P:$P,0)),"—")</f>
        <v/>
      </c>
      <c r="I93" s="5">
        <f>IFERROR(INDEX('iCoA Register'!$D:$D,MATCH("P050012|R",'iCoA Register'!$P:$P,0)),"")</f>
        <v/>
      </c>
      <c r="J93" s="2" t="inlineStr">
        <is>
          <t>legacy</t>
        </is>
      </c>
      <c r="K93" s="2" t="inlineStr">
        <is>
          <t>retest — sampled — Tranche 2/3 (potency and mycotoxins pending)</t>
        </is>
      </c>
      <c r="L93" s="3" t="inlineStr">
        <is>
          <t>GG1024_02</t>
        </is>
      </c>
      <c r="M93" s="2" t="inlineStr">
        <is>
          <t>P050012</t>
        </is>
      </c>
      <c r="N93" s="2" t="inlineStr">
        <is>
          <t>Gorilla Glue</t>
        </is>
      </c>
      <c r="O93" s="6" t="inlineStr">
        <is>
          <t>— retest assay not yet on file —</t>
        </is>
      </c>
      <c r="P93" s="6" t="inlineStr">
        <is>
          <t>—</t>
        </is>
      </c>
      <c r="Q93" s="2" t="inlineStr">
        <is>
          <t>—</t>
        </is>
      </c>
      <c r="R93" s="2" t="inlineStr">
        <is>
          <t>CoQ reissue (assigned on issue)</t>
        </is>
      </c>
      <c r="S93" s="2" t="inlineStr">
        <is>
          <t>P050012|R</t>
        </is>
      </c>
      <c r="T93" s="9" t="inlineStr">
        <is>
          <t>not yet issuable — sampled — microbiology on file, retest assay pending · issued on the first working day 7 days after the latest retest certificate, once the in-house iCoA exists</t>
        </is>
      </c>
    </row>
    <row r="94">
      <c r="A94" s="2">
        <f>IF(C94="yes",COUNT(A$1:A93)+1,"")</f>
        <v/>
      </c>
      <c r="B94" s="3">
        <f>IF(A94&lt;&gt;"","CoQ-PP_26-"&amp;TEXT(A94,"000"),"— at issue —")</f>
        <v/>
      </c>
      <c r="C94" s="6" t="inlineStr">
        <is>
          <t>no</t>
        </is>
      </c>
      <c r="D94" s="5">
        <f>IF(A94="","",MAX(E94,IF(ISNUMBER(I94),I94,0),IFERROR(IF(ISNUMBER(INDEX('iCoA Register'!$F:$F,MATCH(S94,'iCoA Register'!$P:$P,0))),(INDEX('iCoA Register'!$F:$F,MATCH(S94,'iCoA Register'!$P:$P,0)))+CHOOSE(WEEKDAY(INDEX('iCoA Register'!$F:$F,MATCH(S94,'iCoA Register'!$P:$P,0)),2),0,0,0,0,0,2,1),0),0)))</f>
        <v/>
      </c>
      <c r="E94" s="5">
        <f>IF(ISNUMBER(F94),MAX(DATE(2026,5,27),(F94+7)+CHOOSE(WEEKDAY(F94+7,2),0,0,0,0,0,2,1)),"at retest sampling")</f>
        <v/>
      </c>
      <c r="F94" s="5" t="n">
        <v>46244</v>
      </c>
      <c r="G94" s="2" t="inlineStr">
        <is>
          <t>197-11-M-26</t>
        </is>
      </c>
      <c r="H94" s="2">
        <f>IFERROR(INDEX('iCoA Register'!$B:$B,MATCH("P050022|R",'iCoA Register'!$P:$P,0)),"—")</f>
        <v/>
      </c>
      <c r="I94" s="5">
        <f>IFERROR(INDEX('iCoA Register'!$D:$D,MATCH("P050022|R",'iCoA Register'!$P:$P,0)),"")</f>
        <v/>
      </c>
      <c r="J94" s="2" t="inlineStr">
        <is>
          <t>legacy</t>
        </is>
      </c>
      <c r="K94" s="2" t="inlineStr">
        <is>
          <t>retest — Tranche 1 (sampled July 2026)</t>
        </is>
      </c>
      <c r="L94" s="3" t="inlineStr">
        <is>
          <t>GP0824_02</t>
        </is>
      </c>
      <c r="M94" s="2" t="inlineStr">
        <is>
          <t>P050022</t>
        </is>
      </c>
      <c r="N94" s="2" t="inlineStr">
        <is>
          <t>Grape Pie</t>
        </is>
      </c>
      <c r="O94" s="2" t="inlineStr">
        <is>
          <t>197-11-K-26, (07.08.2026) [FHM-K]</t>
        </is>
      </c>
      <c r="P94" s="6" t="inlineStr">
        <is>
          <t>—</t>
        </is>
      </c>
      <c r="Q94" s="2" t="inlineStr">
        <is>
          <t>—</t>
        </is>
      </c>
      <c r="R94" s="2" t="inlineStr">
        <is>
          <t>CoQ-PP-2026-0032</t>
        </is>
      </c>
      <c r="S94" s="2" t="inlineStr">
        <is>
          <t>P050022|R</t>
        </is>
      </c>
      <c r="T94" s="9" t="inlineStr">
        <is>
          <t>not yet issuable — due — retest assay, mycotoxins on file; in-house iCoA to test · issued on the first working day 7 days after the latest retest certificate, once the in-house iCoA exists</t>
        </is>
      </c>
    </row>
    <row r="95">
      <c r="A95" s="2">
        <f>IF(C95="yes",COUNT(A$1:A94)+1,"")</f>
        <v/>
      </c>
      <c r="B95" s="3">
        <f>IF(A95&lt;&gt;"","CoQ-PP_26-"&amp;TEXT(A95,"000"),"— at issue —")</f>
        <v/>
      </c>
      <c r="C95" s="6" t="inlineStr">
        <is>
          <t>no</t>
        </is>
      </c>
      <c r="D95" s="5">
        <f>IF(A95="","",MAX(E95,IF(ISNUMBER(I95),I95,0),IFERROR(IF(ISNUMBER(INDEX('iCoA Register'!$F:$F,MATCH(S95,'iCoA Register'!$P:$P,0))),(INDEX('iCoA Register'!$F:$F,MATCH(S95,'iCoA Register'!$P:$P,0)))+CHOOSE(WEEKDAY(INDEX('iCoA Register'!$F:$F,MATCH(S95,'iCoA Register'!$P:$P,0)),2),0,0,0,0,0,2,1),0),0)))</f>
        <v/>
      </c>
      <c r="E95" s="5">
        <f>IF(ISNUMBER(F95),MAX(DATE(2026,5,27),(F95+7)+CHOOSE(WEEKDAY(F95+7,2),0,0,0,0,0,2,1)),"at retest sampling")</f>
        <v/>
      </c>
      <c r="F95" s="5" t="inlineStr">
        <is>
          <t>— not yet sampled —</t>
        </is>
      </c>
      <c r="G95" s="2" t="inlineStr">
        <is>
          <t>—</t>
        </is>
      </c>
      <c r="H95" s="2">
        <f>IFERROR(INDEX('iCoA Register'!$B:$B,MATCH("P050042|R",'iCoA Register'!$P:$P,0)),"—")</f>
        <v/>
      </c>
      <c r="I95" s="5">
        <f>IFERROR(INDEX('iCoA Register'!$D:$D,MATCH("P050042|R",'iCoA Register'!$P:$P,0)),"")</f>
        <v/>
      </c>
      <c r="J95" s="2" t="inlineStr">
        <is>
          <t>legacy</t>
        </is>
      </c>
      <c r="K95" s="2" t="inlineStr">
        <is>
          <t>retest — not yet sampled</t>
        </is>
      </c>
      <c r="L95" s="3" t="inlineStr">
        <is>
          <t>OMP1024_01</t>
        </is>
      </c>
      <c r="M95" s="2" t="inlineStr">
        <is>
          <t>P050042</t>
        </is>
      </c>
      <c r="N95" s="2" t="inlineStr">
        <is>
          <t>Orange Punch Mimosa</t>
        </is>
      </c>
      <c r="O95" s="6" t="inlineStr">
        <is>
          <t>— retest assay not yet on file —</t>
        </is>
      </c>
      <c r="P95" s="6" t="inlineStr">
        <is>
          <t>—</t>
        </is>
      </c>
      <c r="Q95" s="2" t="inlineStr">
        <is>
          <t>—</t>
        </is>
      </c>
      <c r="R95" s="2" t="inlineStr">
        <is>
          <t>CoQ-PP-2026-0033</t>
        </is>
      </c>
      <c r="S95" s="2" t="inlineStr">
        <is>
          <t>P050042|R</t>
        </is>
      </c>
      <c r="T95" s="9" t="inlineStr">
        <is>
          <t>not yet issuable — pending — not yet sampled · issued on the first working day 7 days after the latest retest certificate, once the in-house iCoA exists</t>
        </is>
      </c>
    </row>
    <row r="96">
      <c r="A96" s="2">
        <f>IF(C96="yes",COUNT(A$1:A95)+1,"")</f>
        <v/>
      </c>
      <c r="B96" s="3">
        <f>IF(A96&lt;&gt;"","CoQ-PP_26-"&amp;TEXT(A96,"000"),"— at issue —")</f>
        <v/>
      </c>
      <c r="C96" s="6" t="inlineStr">
        <is>
          <t>no</t>
        </is>
      </c>
      <c r="D96" s="5">
        <f>IF(A96="","",MAX(E96,IF(ISNUMBER(I96),I96,0),IFERROR(IF(ISNUMBER(INDEX('iCoA Register'!$F:$F,MATCH(S96,'iCoA Register'!$P:$P,0))),(INDEX('iCoA Register'!$F:$F,MATCH(S96,'iCoA Register'!$P:$P,0)))+CHOOSE(WEEKDAY(INDEX('iCoA Register'!$F:$F,MATCH(S96,'iCoA Register'!$P:$P,0)),2),0,0,0,0,0,2,1),0),0)))</f>
        <v/>
      </c>
      <c r="E96" s="5">
        <f>IF(ISNUMBER(F96),MAX(DATE(2026,5,27),(F96+7)+CHOOSE(WEEKDAY(F96+7,2),0,0,0,0,0,2,1)),"at retest sampling")</f>
        <v/>
      </c>
      <c r="F96" s="5" t="n">
        <v>46244</v>
      </c>
      <c r="G96" s="2" t="inlineStr">
        <is>
          <t>197-14-M-26</t>
        </is>
      </c>
      <c r="H96" s="2">
        <f>IFERROR(INDEX('iCoA Register'!$B:$B,MATCH("P050052|R",'iCoA Register'!$P:$P,0)),"—")</f>
        <v/>
      </c>
      <c r="I96" s="5">
        <f>IFERROR(INDEX('iCoA Register'!$D:$D,MATCH("P050052|R",'iCoA Register'!$P:$P,0)),"")</f>
        <v/>
      </c>
      <c r="J96" s="2" t="inlineStr">
        <is>
          <t>legacy</t>
        </is>
      </c>
      <c r="K96" s="2" t="inlineStr">
        <is>
          <t>retest — Tranche 1 (sampled July 2026)</t>
        </is>
      </c>
      <c r="L96" s="3" t="inlineStr">
        <is>
          <t>HPA1024_01</t>
        </is>
      </c>
      <c r="M96" s="2" t="inlineStr">
        <is>
          <t>P050052</t>
        </is>
      </c>
      <c r="N96" s="2" t="inlineStr">
        <is>
          <t>High Pro Amnesia</t>
        </is>
      </c>
      <c r="O96" s="2" t="inlineStr">
        <is>
          <t>197-14-K-26, (07.08.2026) [FHM-K]</t>
        </is>
      </c>
      <c r="P96" s="6" t="inlineStr">
        <is>
          <t>—</t>
        </is>
      </c>
      <c r="Q96" s="2" t="inlineStr">
        <is>
          <t>—</t>
        </is>
      </c>
      <c r="R96" s="2" t="inlineStr">
        <is>
          <t>CoQ-PP-2026-0034</t>
        </is>
      </c>
      <c r="S96" s="2" t="inlineStr">
        <is>
          <t>P050052|R</t>
        </is>
      </c>
      <c r="T96" s="9" t="inlineStr">
        <is>
          <t>not yet issuable — due — retest assay, mycotoxins on file; in-house iCoA to test · issued on the first working day 7 days after the latest retest certificate, once the in-house iCoA exists</t>
        </is>
      </c>
    </row>
    <row r="97">
      <c r="A97" s="2">
        <f>IF(C97="yes",COUNT(A$1:A96)+1,"")</f>
        <v/>
      </c>
      <c r="B97" s="3">
        <f>IF(A97&lt;&gt;"","CoQ-PP_26-"&amp;TEXT(A97,"000"),"— at issue —")</f>
        <v/>
      </c>
      <c r="C97" s="6" t="inlineStr">
        <is>
          <t>no</t>
        </is>
      </c>
      <c r="D97" s="5">
        <f>IF(A97="","",MAX(E97,IF(ISNUMBER(I97),I97,0),IFERROR(IF(ISNUMBER(INDEX('iCoA Register'!$F:$F,MATCH(S97,'iCoA Register'!$P:$P,0))),(INDEX('iCoA Register'!$F:$F,MATCH(S97,'iCoA Register'!$P:$P,0)))+CHOOSE(WEEKDAY(INDEX('iCoA Register'!$F:$F,MATCH(S97,'iCoA Register'!$P:$P,0)),2),0,0,0,0,0,2,1),0),0)))</f>
        <v/>
      </c>
      <c r="E97" s="5">
        <f>IF(ISNUMBER(F97),MAX(DATE(2026,5,27),(F97+7)+CHOOSE(WEEKDAY(F97+7,2),0,0,0,0,0,2,1)),"at retest sampling")</f>
        <v/>
      </c>
      <c r="F97" s="5" t="n">
        <v>46244</v>
      </c>
      <c r="G97" s="2" t="inlineStr">
        <is>
          <t>197-18-M-26</t>
        </is>
      </c>
      <c r="H97" s="2">
        <f>IFERROR(INDEX('iCoA Register'!$B:$B,MATCH("P050062|R",'iCoA Register'!$P:$P,0)),"—")</f>
        <v/>
      </c>
      <c r="I97" s="5">
        <f>IFERROR(INDEX('iCoA Register'!$D:$D,MATCH("P050062|R",'iCoA Register'!$P:$P,0)),"")</f>
        <v/>
      </c>
      <c r="J97" s="2" t="inlineStr">
        <is>
          <t>legacy</t>
        </is>
      </c>
      <c r="K97" s="2" t="inlineStr">
        <is>
          <t>retest — Tranche 1 (sampled July 2026)</t>
        </is>
      </c>
      <c r="L97" s="3" t="inlineStr">
        <is>
          <t>OPM1024_02</t>
        </is>
      </c>
      <c r="M97" s="2" t="inlineStr">
        <is>
          <t>P050062</t>
        </is>
      </c>
      <c r="N97" s="2" t="inlineStr">
        <is>
          <t>Orange Punch Mimosa</t>
        </is>
      </c>
      <c r="O97" s="2" t="inlineStr">
        <is>
          <t>197-18-K-26, (07.08.2026) [FHM-K]</t>
        </is>
      </c>
      <c r="P97" s="6" t="inlineStr">
        <is>
          <t>—</t>
        </is>
      </c>
      <c r="Q97" s="2" t="inlineStr">
        <is>
          <t>—</t>
        </is>
      </c>
      <c r="R97" s="2" t="inlineStr">
        <is>
          <t>CoQ-PP-2026-0035</t>
        </is>
      </c>
      <c r="S97" s="2" t="inlineStr">
        <is>
          <t>P050062|R</t>
        </is>
      </c>
      <c r="T97" s="9" t="inlineStr">
        <is>
          <t>not yet issuable — due — retest assay, mycotoxins on file; in-house iCoA to test · issued on the first working day 7 days after the latest retest certificate, once the in-house iCoA exists</t>
        </is>
      </c>
    </row>
    <row r="98">
      <c r="A98" s="2">
        <f>IF(C98="yes",COUNT(A$1:A97)+1,"")</f>
        <v/>
      </c>
      <c r="B98" s="3">
        <f>IF(A98&lt;&gt;"","CoQ-PP_26-"&amp;TEXT(A98,"000"),"— at issue —")</f>
        <v/>
      </c>
      <c r="C98" s="6" t="inlineStr">
        <is>
          <t>no</t>
        </is>
      </c>
      <c r="D98" s="5">
        <f>IF(A98="","",MAX(E98,IF(ISNUMBER(I98),I98,0),IFERROR(IF(ISNUMBER(INDEX('iCoA Register'!$F:$F,MATCH(S98,'iCoA Register'!$P:$P,0))),(INDEX('iCoA Register'!$F:$F,MATCH(S98,'iCoA Register'!$P:$P,0)))+CHOOSE(WEEKDAY(INDEX('iCoA Register'!$F:$F,MATCH(S98,'iCoA Register'!$P:$P,0)),2),0,0,0,0,0,2,1),0),0)))</f>
        <v/>
      </c>
      <c r="E98" s="5">
        <f>IF(ISNUMBER(F98),MAX(DATE(2026,5,27),(F98+7)+CHOOSE(WEEKDAY(F98+7,2),0,0,0,0,0,2,1)),"at retest sampling")</f>
        <v/>
      </c>
      <c r="F98" s="5" t="inlineStr">
        <is>
          <t>— not yet sampled —</t>
        </is>
      </c>
      <c r="G98" s="2" t="inlineStr">
        <is>
          <t>—</t>
        </is>
      </c>
      <c r="H98" s="2">
        <f>IFERROR(INDEX('iCoA Register'!$B:$B,MATCH("P050072|R",'iCoA Register'!$P:$P,0)),"—")</f>
        <v/>
      </c>
      <c r="I98" s="5">
        <f>IFERROR(INDEX('iCoA Register'!$D:$D,MATCH("P050072|R",'iCoA Register'!$P:$P,0)),"")</f>
        <v/>
      </c>
      <c r="J98" s="2" t="inlineStr">
        <is>
          <t>legacy</t>
        </is>
      </c>
      <c r="K98" s="2" t="inlineStr">
        <is>
          <t>retest — not yet sampled</t>
        </is>
      </c>
      <c r="L98" s="3" t="inlineStr">
        <is>
          <t>GP0824_03</t>
        </is>
      </c>
      <c r="M98" s="2" t="inlineStr">
        <is>
          <t>P050072</t>
        </is>
      </c>
      <c r="N98" s="2" t="inlineStr">
        <is>
          <t>Grape Pie</t>
        </is>
      </c>
      <c r="O98" s="6" t="inlineStr">
        <is>
          <t>— retest assay not yet on file —</t>
        </is>
      </c>
      <c r="P98" s="6" t="inlineStr">
        <is>
          <t>—</t>
        </is>
      </c>
      <c r="Q98" s="2" t="inlineStr">
        <is>
          <t>—</t>
        </is>
      </c>
      <c r="R98" s="2" t="inlineStr">
        <is>
          <t>CoQ-PP-2026-0036</t>
        </is>
      </c>
      <c r="S98" s="2" t="inlineStr">
        <is>
          <t>P050072|R</t>
        </is>
      </c>
      <c r="T98" s="9" t="inlineStr">
        <is>
          <t>not yet issuable — pending — not yet sampled · issued on the first working day 7 days after the latest retest certificate, once the in-house iCoA exists</t>
        </is>
      </c>
    </row>
    <row r="99">
      <c r="A99" s="2">
        <f>IF(C99="yes",COUNT(A$1:A98)+1,"")</f>
        <v/>
      </c>
      <c r="B99" s="3">
        <f>IF(A99&lt;&gt;"","CoQ-PP_26-"&amp;TEXT(A99,"000"),"— at issue —")</f>
        <v/>
      </c>
      <c r="C99" s="6" t="inlineStr">
        <is>
          <t>no</t>
        </is>
      </c>
      <c r="D99" s="5">
        <f>IF(A99="","",MAX(E99,IF(ISNUMBER(I99),I99,0),IFERROR(IF(ISNUMBER(INDEX('iCoA Register'!$F:$F,MATCH(S99,'iCoA Register'!$P:$P,0))),(INDEX('iCoA Register'!$F:$F,MATCH(S99,'iCoA Register'!$P:$P,0)))+CHOOSE(WEEKDAY(INDEX('iCoA Register'!$F:$F,MATCH(S99,'iCoA Register'!$P:$P,0)),2),0,0,0,0,0,2,1),0),0)))</f>
        <v/>
      </c>
      <c r="E99" s="5">
        <f>IF(ISNUMBER(F99),MAX(DATE(2026,5,27),(F99+7)+CHOOSE(WEEKDAY(F99+7,2),0,0,0,0,0,2,1)),"at retest sampling")</f>
        <v/>
      </c>
      <c r="F99" s="5" t="inlineStr">
        <is>
          <t>— not yet sampled —</t>
        </is>
      </c>
      <c r="G99" s="2" t="inlineStr">
        <is>
          <t>—</t>
        </is>
      </c>
      <c r="H99" s="2">
        <f>IFERROR(INDEX('iCoA Register'!$B:$B,MATCH("P050082|R",'iCoA Register'!$P:$P,0)),"—")</f>
        <v/>
      </c>
      <c r="I99" s="5">
        <f>IFERROR(INDEX('iCoA Register'!$D:$D,MATCH("P050082|R",'iCoA Register'!$P:$P,0)),"")</f>
        <v/>
      </c>
      <c r="J99" s="2" t="inlineStr">
        <is>
          <t>legacy</t>
        </is>
      </c>
      <c r="K99" s="2" t="inlineStr">
        <is>
          <t>retest — not yet sampled</t>
        </is>
      </c>
      <c r="L99" s="3" t="inlineStr">
        <is>
          <t>OPM1024_03</t>
        </is>
      </c>
      <c r="M99" s="2" t="inlineStr">
        <is>
          <t>P050082</t>
        </is>
      </c>
      <c r="N99" s="2" t="inlineStr">
        <is>
          <t>Orange Punch Mimosa</t>
        </is>
      </c>
      <c r="O99" s="6" t="inlineStr">
        <is>
          <t>— retest assay not yet on file —</t>
        </is>
      </c>
      <c r="P99" s="6" t="inlineStr">
        <is>
          <t>—</t>
        </is>
      </c>
      <c r="Q99" s="2" t="inlineStr">
        <is>
          <t>—</t>
        </is>
      </c>
      <c r="R99" s="2" t="inlineStr">
        <is>
          <t>CoQ-PP-2026-0037</t>
        </is>
      </c>
      <c r="S99" s="2" t="inlineStr">
        <is>
          <t>P050082|R</t>
        </is>
      </c>
      <c r="T99" s="9" t="inlineStr">
        <is>
          <t>not yet issuable — pending — not yet sampled · issued on the first working day 7 days after the latest retest certificate, once the in-house iCoA exists</t>
        </is>
      </c>
    </row>
    <row r="100">
      <c r="A100" s="2">
        <f>IF(C100="yes",COUNT(A$1:A99)+1,"")</f>
        <v/>
      </c>
      <c r="B100" s="3">
        <f>IF(A100&lt;&gt;"","CoQ-PP_26-"&amp;TEXT(A100,"000"),"— at issue —")</f>
        <v/>
      </c>
      <c r="C100" s="6" t="inlineStr">
        <is>
          <t>no</t>
        </is>
      </c>
      <c r="D100" s="5">
        <f>IF(A100="","",MAX(E100,IF(ISNUMBER(I100),I100,0),IFERROR(IF(ISNUMBER(INDEX('iCoA Register'!$F:$F,MATCH(S100,'iCoA Register'!$P:$P,0))),(INDEX('iCoA Register'!$F:$F,MATCH(S100,'iCoA Register'!$P:$P,0)))+CHOOSE(WEEKDAY(INDEX('iCoA Register'!$F:$F,MATCH(S100,'iCoA Register'!$P:$P,0)),2),0,0,0,0,0,2,1),0),0)))</f>
        <v/>
      </c>
      <c r="E100" s="5">
        <f>IF(ISNUMBER(F100),MAX(DATE(2026,5,27),(F100+7)+CHOOSE(WEEKDAY(F100+7,2),0,0,0,0,0,2,1)),"at retest sampling")</f>
        <v/>
      </c>
      <c r="F100" s="5" t="n">
        <v>46244</v>
      </c>
      <c r="G100" s="2" t="inlineStr">
        <is>
          <t>197-9-M-26</t>
        </is>
      </c>
      <c r="H100" s="2">
        <f>IFERROR(INDEX('iCoA Register'!$B:$B,MATCH("P050092|R",'iCoA Register'!$P:$P,0)),"—")</f>
        <v/>
      </c>
      <c r="I100" s="5">
        <f>IFERROR(INDEX('iCoA Register'!$D:$D,MATCH("P050092|R",'iCoA Register'!$P:$P,0)),"")</f>
        <v/>
      </c>
      <c r="J100" s="2" t="inlineStr">
        <is>
          <t>legacy</t>
        </is>
      </c>
      <c r="K100" s="2" t="inlineStr">
        <is>
          <t>retest — Tranche 1 (sampled July 2026)</t>
        </is>
      </c>
      <c r="L100" s="3" t="inlineStr">
        <is>
          <t>GG1024_01</t>
        </is>
      </c>
      <c r="M100" s="2" t="inlineStr">
        <is>
          <t>P050092</t>
        </is>
      </c>
      <c r="N100" s="2" t="inlineStr">
        <is>
          <t>Gorilla Glue</t>
        </is>
      </c>
      <c r="O100" s="2" t="inlineStr">
        <is>
          <t>197-9-K-26, (07.08.2026) [FHM-K]</t>
        </is>
      </c>
      <c r="P100" s="6" t="inlineStr">
        <is>
          <t>—</t>
        </is>
      </c>
      <c r="Q100" s="2" t="inlineStr">
        <is>
          <t>—</t>
        </is>
      </c>
      <c r="R100" s="2" t="inlineStr">
        <is>
          <t>CoQ-PP-2026-0038</t>
        </is>
      </c>
      <c r="S100" s="2" t="inlineStr">
        <is>
          <t>P050092|R</t>
        </is>
      </c>
      <c r="T100" s="9" t="inlineStr">
        <is>
          <t>not yet issuable — due — retest assay, mycotoxins on file; in-house iCoA to test · issued on the first working day 7 days after the latest retest certificate, once the in-house iCoA exists</t>
        </is>
      </c>
    </row>
    <row r="101">
      <c r="A101" s="2">
        <f>IF(C101="yes",COUNT(A$1:A100)+1,"")</f>
        <v/>
      </c>
      <c r="B101" s="3">
        <f>IF(A101&lt;&gt;"","CoQ-PP_26-"&amp;TEXT(A101,"000"),"— at issue —")</f>
        <v/>
      </c>
      <c r="C101" s="6" t="inlineStr">
        <is>
          <t>no</t>
        </is>
      </c>
      <c r="D101" s="5">
        <f>IF(A101="","",MAX(E101,IF(ISNUMBER(I101),I101,0),IFERROR(IF(ISNUMBER(INDEX('iCoA Register'!$F:$F,MATCH(S101,'iCoA Register'!$P:$P,0))),(INDEX('iCoA Register'!$F:$F,MATCH(S101,'iCoA Register'!$P:$P,0)))+CHOOSE(WEEKDAY(INDEX('iCoA Register'!$F:$F,MATCH(S101,'iCoA Register'!$P:$P,0)),2),0,0,0,0,0,2,1),0),0)))</f>
        <v/>
      </c>
      <c r="E101" s="5">
        <f>IF(ISNUMBER(F101),MAX(DATE(2026,5,27),(F101+7)+CHOOSE(WEEKDAY(F101+7,2),0,0,0,0,0,2,1)),"at retest sampling")</f>
        <v/>
      </c>
      <c r="F101" s="5" t="inlineStr">
        <is>
          <t>— not yet sampled —</t>
        </is>
      </c>
      <c r="G101" s="2" t="inlineStr">
        <is>
          <t>—</t>
        </is>
      </c>
      <c r="H101" s="2">
        <f>IFERROR(INDEX('iCoA Register'!$B:$B,MATCH("P050112|R",'iCoA Register'!$P:$P,0)),"—")</f>
        <v/>
      </c>
      <c r="I101" s="5">
        <f>IFERROR(INDEX('iCoA Register'!$D:$D,MATCH("P050112|R",'iCoA Register'!$P:$P,0)),"")</f>
        <v/>
      </c>
      <c r="J101" s="2" t="inlineStr">
        <is>
          <t>legacy</t>
        </is>
      </c>
      <c r="K101" s="2" t="inlineStr">
        <is>
          <t>retest — not yet sampled</t>
        </is>
      </c>
      <c r="L101" s="3" t="inlineStr">
        <is>
          <t>MB0824_05</t>
        </is>
      </c>
      <c r="M101" s="2" t="inlineStr">
        <is>
          <t>P050112</t>
        </is>
      </c>
      <c r="N101" s="2" t="inlineStr">
        <is>
          <t>Motor Breath</t>
        </is>
      </c>
      <c r="O101" s="6" t="inlineStr">
        <is>
          <t>— retest assay not yet on file —</t>
        </is>
      </c>
      <c r="P101" s="6" t="inlineStr">
        <is>
          <t>—</t>
        </is>
      </c>
      <c r="Q101" s="2" t="inlineStr">
        <is>
          <t>—</t>
        </is>
      </c>
      <c r="R101" s="2" t="inlineStr">
        <is>
          <t>CoQ-PP-2026-0039</t>
        </is>
      </c>
      <c r="S101" s="2" t="inlineStr">
        <is>
          <t>P050112|R</t>
        </is>
      </c>
      <c r="T101" s="9" t="inlineStr">
        <is>
          <t>not yet issuable — pending — not yet sampled · issued on the first working day 7 days after the latest retest certificate, once the in-house iCoA exists</t>
        </is>
      </c>
    </row>
    <row r="102">
      <c r="A102" s="2">
        <f>IF(C102="yes",COUNT(A$1:A101)+1,"")</f>
        <v/>
      </c>
      <c r="B102" s="3">
        <f>IF(A102&lt;&gt;"","CoQ-PP_26-"&amp;TEXT(A102,"000"),"— at issue —")</f>
        <v/>
      </c>
      <c r="C102" s="6" t="inlineStr">
        <is>
          <t>no</t>
        </is>
      </c>
      <c r="D102" s="5">
        <f>IF(A102="","",MAX(E102,IF(ISNUMBER(I102),I102,0),IFERROR(IF(ISNUMBER(INDEX('iCoA Register'!$F:$F,MATCH(S102,'iCoA Register'!$P:$P,0))),(INDEX('iCoA Register'!$F:$F,MATCH(S102,'iCoA Register'!$P:$P,0)))+CHOOSE(WEEKDAY(INDEX('iCoA Register'!$F:$F,MATCH(S102,'iCoA Register'!$P:$P,0)),2),0,0,0,0,0,2,1),0),0)))</f>
        <v/>
      </c>
      <c r="E102" s="5">
        <f>IF(ISNUMBER(F102),MAX(DATE(2026,5,27),(F102+7)+CHOOSE(WEEKDAY(F102+7,2),0,0,0,0,0,2,1)),"at retest sampling")</f>
        <v/>
      </c>
      <c r="F102" s="5" t="n">
        <v>46266</v>
      </c>
      <c r="G102" s="2" t="inlineStr">
        <is>
          <t>560-1091-26</t>
        </is>
      </c>
      <c r="H102" s="2">
        <f>IFERROR(INDEX('iCoA Register'!$B:$B,MATCH("P050132|R",'iCoA Register'!$P:$P,0)),"—")</f>
        <v/>
      </c>
      <c r="I102" s="5">
        <f>IFERROR(INDEX('iCoA Register'!$D:$D,MATCH("P050132|R",'iCoA Register'!$P:$P,0)),"")</f>
        <v/>
      </c>
      <c r="J102" s="2" t="inlineStr">
        <is>
          <t>legacy</t>
        </is>
      </c>
      <c r="K102" s="2" t="inlineStr">
        <is>
          <t>retest — sampled — Tranche 2/3 (potency and mycotoxins pending)</t>
        </is>
      </c>
      <c r="L102" s="3" t="inlineStr">
        <is>
          <t>OPM052501</t>
        </is>
      </c>
      <c r="M102" s="2" t="inlineStr">
        <is>
          <t>P050132</t>
        </is>
      </c>
      <c r="N102" s="2" t="inlineStr">
        <is>
          <t>Orange Punch Mimosa</t>
        </is>
      </c>
      <c r="O102" s="6" t="inlineStr">
        <is>
          <t>— retest assay not yet on file —</t>
        </is>
      </c>
      <c r="P102" s="6" t="inlineStr">
        <is>
          <t>—</t>
        </is>
      </c>
      <c r="Q102" s="2" t="inlineStr">
        <is>
          <t>—</t>
        </is>
      </c>
      <c r="R102" s="2" t="inlineStr">
        <is>
          <t>CoQ reissue (assigned on issue)</t>
        </is>
      </c>
      <c r="S102" s="2" t="inlineStr">
        <is>
          <t>P050132|R</t>
        </is>
      </c>
      <c r="T102" s="9" t="inlineStr">
        <is>
          <t>not yet issuable — sampled — microbiology on file, retest assay pending · issued on the first working day 7 days after the latest retest certificate, once the in-house iCoA exists</t>
        </is>
      </c>
    </row>
    <row r="103">
      <c r="A103" s="2">
        <f>IF(C103="yes",COUNT(A$1:A102)+1,"")</f>
        <v/>
      </c>
      <c r="B103" s="3">
        <f>IF(A103&lt;&gt;"","CoQ-PP_26-"&amp;TEXT(A103,"000"),"— at issue —")</f>
        <v/>
      </c>
      <c r="C103" s="6" t="inlineStr">
        <is>
          <t>no</t>
        </is>
      </c>
      <c r="D103" s="5">
        <f>IF(A103="","",MAX(E103,IF(ISNUMBER(I103),I103,0),IFERROR(IF(ISNUMBER(INDEX('iCoA Register'!$F:$F,MATCH(S103,'iCoA Register'!$P:$P,0))),(INDEX('iCoA Register'!$F:$F,MATCH(S103,'iCoA Register'!$P:$P,0)))+CHOOSE(WEEKDAY(INDEX('iCoA Register'!$F:$F,MATCH(S103,'iCoA Register'!$P:$P,0)),2),0,0,0,0,0,2,1),0),0)))</f>
        <v/>
      </c>
      <c r="E103" s="5">
        <f>IF(ISNUMBER(F103),MAX(DATE(2026,5,27),(F103+7)+CHOOSE(WEEKDAY(F103+7,2),0,0,0,0,0,2,1)),"at retest sampling")</f>
        <v/>
      </c>
      <c r="F103" s="5" t="n">
        <v>46266</v>
      </c>
      <c r="G103" s="2" t="inlineStr">
        <is>
          <t>558-1089-26</t>
        </is>
      </c>
      <c r="H103" s="2">
        <f>IFERROR(INDEX('iCoA Register'!$B:$B,MATCH("P050172|R",'iCoA Register'!$P:$P,0)),"—")</f>
        <v/>
      </c>
      <c r="I103" s="5">
        <f>IFERROR(INDEX('iCoA Register'!$D:$D,MATCH("P050172|R",'iCoA Register'!$P:$P,0)),"")</f>
        <v/>
      </c>
      <c r="J103" s="2" t="inlineStr">
        <is>
          <t>legacy</t>
        </is>
      </c>
      <c r="K103" s="2" t="inlineStr">
        <is>
          <t>retest — sampled — Tranche 2/3 (potency and mycotoxins pending)</t>
        </is>
      </c>
      <c r="L103" s="3" t="inlineStr">
        <is>
          <t>CJ052501/02</t>
        </is>
      </c>
      <c r="M103" s="2" t="inlineStr">
        <is>
          <t>P050172</t>
        </is>
      </c>
      <c r="N103" s="2" t="inlineStr">
        <is>
          <t>Cap Junky</t>
        </is>
      </c>
      <c r="O103" s="6" t="inlineStr">
        <is>
          <t>— retest assay not yet on file —</t>
        </is>
      </c>
      <c r="P103" s="6" t="inlineStr">
        <is>
          <t>—</t>
        </is>
      </c>
      <c r="Q103" s="2" t="inlineStr">
        <is>
          <t>—</t>
        </is>
      </c>
      <c r="R103" s="2" t="inlineStr">
        <is>
          <t>CoQ reissue (assigned on issue)</t>
        </is>
      </c>
      <c r="S103" s="2" t="inlineStr">
        <is>
          <t>P050172|R</t>
        </is>
      </c>
      <c r="T103" s="9" t="inlineStr">
        <is>
          <t>not yet issuable — sampled — microbiology on file, retest assay pending · issued on the first working day 7 days after the latest retest certificate, once the in-house iCoA exists</t>
        </is>
      </c>
    </row>
    <row r="104">
      <c r="A104" s="2">
        <f>IF(C104="yes",COUNT(A$1:A103)+1,"")</f>
        <v/>
      </c>
      <c r="B104" s="3">
        <f>IF(A104&lt;&gt;"","CoQ-PP_26-"&amp;TEXT(A104,"000"),"— at issue —")</f>
        <v/>
      </c>
      <c r="C104" s="6" t="inlineStr">
        <is>
          <t>no</t>
        </is>
      </c>
      <c r="D104" s="5">
        <f>IF(A104="","",MAX(E104,IF(ISNUMBER(I104),I104,0),IFERROR(IF(ISNUMBER(INDEX('iCoA Register'!$F:$F,MATCH(S104,'iCoA Register'!$P:$P,0))),(INDEX('iCoA Register'!$F:$F,MATCH(S104,'iCoA Register'!$P:$P,0)))+CHOOSE(WEEKDAY(INDEX('iCoA Register'!$F:$F,MATCH(S104,'iCoA Register'!$P:$P,0)),2),0,0,0,0,0,2,1),0),0)))</f>
        <v/>
      </c>
      <c r="E104" s="5">
        <f>IF(ISNUMBER(F104),MAX(DATE(2026,5,27),(F104+7)+CHOOSE(WEEKDAY(F104+7,2),0,0,0,0,0,2,1)),"at retest sampling")</f>
        <v/>
      </c>
      <c r="F104" s="5" t="n">
        <v>46244</v>
      </c>
      <c r="G104" s="2" t="inlineStr">
        <is>
          <t>197-10-M-26</t>
        </is>
      </c>
      <c r="H104" s="2">
        <f>IFERROR(INDEX('iCoA Register'!$B:$B,MATCH("P050152|R",'iCoA Register'!$P:$P,0)),"—")</f>
        <v/>
      </c>
      <c r="I104" s="5">
        <f>IFERROR(INDEX('iCoA Register'!$D:$D,MATCH("P050152|R",'iCoA Register'!$P:$P,0)),"")</f>
        <v/>
      </c>
      <c r="J104" s="2" t="inlineStr">
        <is>
          <t>legacy</t>
        </is>
      </c>
      <c r="K104" s="2" t="inlineStr">
        <is>
          <t>retest — Tranche 1 (sampled July 2026)</t>
        </is>
      </c>
      <c r="L104" s="3" t="inlineStr">
        <is>
          <t>GP052501</t>
        </is>
      </c>
      <c r="M104" s="2" t="inlineStr">
        <is>
          <t>P050152</t>
        </is>
      </c>
      <c r="N104" s="2" t="inlineStr">
        <is>
          <t>Grape Pie</t>
        </is>
      </c>
      <c r="O104" s="2" t="inlineStr">
        <is>
          <t>197-10-K-26, (07.08.2026) [FHM-K]</t>
        </is>
      </c>
      <c r="P104" s="6" t="inlineStr">
        <is>
          <t>—</t>
        </is>
      </c>
      <c r="Q104" s="2" t="inlineStr">
        <is>
          <t>—</t>
        </is>
      </c>
      <c r="R104" s="2" t="inlineStr">
        <is>
          <t>CoQ reissue (assigned on issue)</t>
        </is>
      </c>
      <c r="S104" s="2" t="inlineStr">
        <is>
          <t>P050152|R</t>
        </is>
      </c>
      <c r="T104" s="9" t="inlineStr">
        <is>
          <t>not yet issuable — due — retest assay, mycotoxins on file; in-house iCoA to test · issued on the first working day 7 days after the latest retest certificate, once the in-house iCoA exists</t>
        </is>
      </c>
    </row>
    <row r="105">
      <c r="A105" s="2">
        <f>IF(C105="yes",COUNT(A$1:A104)+1,"")</f>
        <v/>
      </c>
      <c r="B105" s="3">
        <f>IF(A105&lt;&gt;"","CoQ-PP_26-"&amp;TEXT(A105,"000"),"— at issue —")</f>
        <v/>
      </c>
      <c r="C105" s="6" t="inlineStr">
        <is>
          <t>no</t>
        </is>
      </c>
      <c r="D105" s="5">
        <f>IF(A105="","",MAX(E105,IF(ISNUMBER(I105),I105,0),IFERROR(IF(ISNUMBER(INDEX('iCoA Register'!$F:$F,MATCH(S105,'iCoA Register'!$P:$P,0))),(INDEX('iCoA Register'!$F:$F,MATCH(S105,'iCoA Register'!$P:$P,0)))+CHOOSE(WEEKDAY(INDEX('iCoA Register'!$F:$F,MATCH(S105,'iCoA Register'!$P:$P,0)),2),0,0,0,0,0,2,1),0),0)))</f>
        <v/>
      </c>
      <c r="E105" s="5">
        <f>IF(ISNUMBER(F105),MAX(DATE(2026,5,27),(F105+7)+CHOOSE(WEEKDAY(F105+7,2),0,0,0,0,0,2,1)),"at retest sampling")</f>
        <v/>
      </c>
      <c r="F105" s="5" t="n">
        <v>46244</v>
      </c>
      <c r="G105" s="2" t="inlineStr">
        <is>
          <t>197-3-M-26</t>
        </is>
      </c>
      <c r="H105" s="2">
        <f>IFERROR(INDEX('iCoA Register'!$B:$B,MATCH("P050162|R",'iCoA Register'!$P:$P,0)),"—")</f>
        <v/>
      </c>
      <c r="I105" s="5">
        <f>IFERROR(INDEX('iCoA Register'!$D:$D,MATCH("P050162|R",'iCoA Register'!$P:$P,0)),"")</f>
        <v/>
      </c>
      <c r="J105" s="2" t="inlineStr">
        <is>
          <t>legacy</t>
        </is>
      </c>
      <c r="K105" s="2" t="inlineStr">
        <is>
          <t>retest — Tranche 1 (sampled July 2026)</t>
        </is>
      </c>
      <c r="L105" s="3" t="inlineStr">
        <is>
          <t>CJ052501/01</t>
        </is>
      </c>
      <c r="M105" s="2" t="inlineStr">
        <is>
          <t>P050162</t>
        </is>
      </c>
      <c r="N105" s="2" t="inlineStr">
        <is>
          <t>Cup Junky</t>
        </is>
      </c>
      <c r="O105" s="2" t="inlineStr">
        <is>
          <t>197-3-K-26, (07.08.2026) [FHM-K]</t>
        </is>
      </c>
      <c r="P105" s="6" t="inlineStr">
        <is>
          <t>—</t>
        </is>
      </c>
      <c r="Q105" s="2" t="inlineStr">
        <is>
          <t>—</t>
        </is>
      </c>
      <c r="R105" s="2" t="inlineStr">
        <is>
          <t>CoQ reissue (assigned on issue)</t>
        </is>
      </c>
      <c r="S105" s="2" t="inlineStr">
        <is>
          <t>P050162|R</t>
        </is>
      </c>
      <c r="T105" s="9" t="inlineStr">
        <is>
          <t>not yet issuable — due — retest assay, mycotoxins on file; in-house iCoA to test · issued on the first working day 7 days after the latest retest certificate, once the in-house iCoA exists</t>
        </is>
      </c>
    </row>
    <row r="106">
      <c r="A106" s="2">
        <f>IF(C106="yes",COUNT(A$1:A105)+1,"")</f>
        <v/>
      </c>
      <c r="B106" s="3">
        <f>IF(A106&lt;&gt;"","CoQ-PP_26-"&amp;TEXT(A106,"000"),"— at issue —")</f>
        <v/>
      </c>
      <c r="C106" s="6" t="inlineStr">
        <is>
          <t>no</t>
        </is>
      </c>
      <c r="D106" s="5">
        <f>IF(A106="","",MAX(E106,IF(ISNUMBER(I106),I106,0),IFERROR(IF(ISNUMBER(INDEX('iCoA Register'!$F:$F,MATCH(S106,'iCoA Register'!$P:$P,0))),(INDEX('iCoA Register'!$F:$F,MATCH(S106,'iCoA Register'!$P:$P,0)))+CHOOSE(WEEKDAY(INDEX('iCoA Register'!$F:$F,MATCH(S106,'iCoA Register'!$P:$P,0)),2),0,0,0,0,0,2,1),0),0)))</f>
        <v/>
      </c>
      <c r="E106" s="5">
        <f>IF(ISNUMBER(F106),MAX(DATE(2026,5,27),(F106+7)+CHOOSE(WEEKDAY(F106+7,2),0,0,0,0,0,2,1)),"at retest sampling")</f>
        <v/>
      </c>
      <c r="F106" s="5" t="inlineStr">
        <is>
          <t>— not yet sampled —</t>
        </is>
      </c>
      <c r="G106" s="2" t="inlineStr">
        <is>
          <t>—</t>
        </is>
      </c>
      <c r="H106" s="2">
        <f>IFERROR(INDEX('iCoA Register'!$B:$B,MATCH("P050182|R",'iCoA Register'!$P:$P,0)),"—")</f>
        <v/>
      </c>
      <c r="I106" s="5">
        <f>IFERROR(INDEX('iCoA Register'!$D:$D,MATCH("P050182|R",'iCoA Register'!$P:$P,0)),"")</f>
        <v/>
      </c>
      <c r="J106" s="2" t="inlineStr">
        <is>
          <t>legacy</t>
        </is>
      </c>
      <c r="K106" s="2" t="inlineStr">
        <is>
          <t>retest — not yet sampled</t>
        </is>
      </c>
      <c r="L106" s="3" t="inlineStr">
        <is>
          <t>HPA052501</t>
        </is>
      </c>
      <c r="M106" s="2" t="inlineStr">
        <is>
          <t>P050182</t>
        </is>
      </c>
      <c r="N106" s="2" t="inlineStr">
        <is>
          <t>High Pro Amnesia</t>
        </is>
      </c>
      <c r="O106" s="6" t="inlineStr">
        <is>
          <t>— retest assay not yet on file —</t>
        </is>
      </c>
      <c r="P106" s="6" t="inlineStr">
        <is>
          <t>—</t>
        </is>
      </c>
      <c r="Q106" s="2" t="inlineStr">
        <is>
          <t>—</t>
        </is>
      </c>
      <c r="R106" s="2" t="inlineStr">
        <is>
          <t>CoQ reissue (assigned on issue)</t>
        </is>
      </c>
      <c r="S106" s="2" t="inlineStr">
        <is>
          <t>P050182|R</t>
        </is>
      </c>
      <c r="T106" s="9" t="inlineStr">
        <is>
          <t>not yet issuable — pending — not yet sampled · issued on the first working day 7 days after the latest retest certificate, once the in-house iCoA exists</t>
        </is>
      </c>
    </row>
    <row r="107">
      <c r="A107" s="2">
        <f>IF(C107="yes",COUNT(A$1:A106)+1,"")</f>
        <v/>
      </c>
      <c r="B107" s="3">
        <f>IF(A107&lt;&gt;"","CoQ-PP_26-"&amp;TEXT(A107,"000"),"— at issue —")</f>
        <v/>
      </c>
      <c r="C107" s="6" t="inlineStr">
        <is>
          <t>no</t>
        </is>
      </c>
      <c r="D107" s="5">
        <f>IF(A107="","",MAX(E107,IF(ISNUMBER(I107),I107,0),IFERROR(IF(ISNUMBER(INDEX('iCoA Register'!$F:$F,MATCH(S107,'iCoA Register'!$P:$P,0))),(INDEX('iCoA Register'!$F:$F,MATCH(S107,'iCoA Register'!$P:$P,0)))+CHOOSE(WEEKDAY(INDEX('iCoA Register'!$F:$F,MATCH(S107,'iCoA Register'!$P:$P,0)),2),0,0,0,0,0,2,1),0),0)))</f>
        <v/>
      </c>
      <c r="E107" s="5">
        <f>IF(ISNUMBER(F107),MAX(DATE(2026,5,27),(F107+7)+CHOOSE(WEEKDAY(F107+7,2),0,0,0,0,0,2,1)),"at retest sampling")</f>
        <v/>
      </c>
      <c r="F107" s="5" t="n">
        <v>46265</v>
      </c>
      <c r="G107" s="2" t="inlineStr">
        <is>
          <t>548-1079-26</t>
        </is>
      </c>
      <c r="H107" s="2">
        <f>IFERROR(INDEX('iCoA Register'!$B:$B,MATCH("P050192|R",'iCoA Register'!$P:$P,0)),"—")</f>
        <v/>
      </c>
      <c r="I107" s="5">
        <f>IFERROR(INDEX('iCoA Register'!$D:$D,MATCH("P050192|R",'iCoA Register'!$P:$P,0)),"")</f>
        <v/>
      </c>
      <c r="J107" s="2" t="inlineStr">
        <is>
          <t>legacy</t>
        </is>
      </c>
      <c r="K107" s="2" t="inlineStr">
        <is>
          <t>retest — sampled — Tranche 2/3 (potency and mycotoxins pending)</t>
        </is>
      </c>
      <c r="L107" s="3" t="inlineStr">
        <is>
          <t>BSS052501</t>
        </is>
      </c>
      <c r="M107" s="2" t="inlineStr">
        <is>
          <t>P050192</t>
        </is>
      </c>
      <c r="N107" s="2" t="inlineStr">
        <is>
          <t>Sleepy Joe</t>
        </is>
      </c>
      <c r="O107" s="6" t="inlineStr">
        <is>
          <t>— retest assay not yet on file —</t>
        </is>
      </c>
      <c r="P107" s="6" t="inlineStr">
        <is>
          <t>—</t>
        </is>
      </c>
      <c r="Q107" s="2" t="inlineStr">
        <is>
          <t>—</t>
        </is>
      </c>
      <c r="R107" s="2" t="inlineStr">
        <is>
          <t>CoQ reissue (assigned on issue)</t>
        </is>
      </c>
      <c r="S107" s="2" t="inlineStr">
        <is>
          <t>P050192|R</t>
        </is>
      </c>
      <c r="T107" s="9" t="inlineStr">
        <is>
          <t>not yet issuable — sampled — microbiology on file, retest assay pending · issued on the first working day 7 days after the latest retest certificate, once the in-house iCoA exists</t>
        </is>
      </c>
    </row>
    <row r="108">
      <c r="A108" s="2">
        <f>IF(C108="yes",COUNT(A$1:A107)+1,"")</f>
        <v/>
      </c>
      <c r="B108" s="3">
        <f>IF(A108&lt;&gt;"","CoQ-PP_26-"&amp;TEXT(A108,"000"),"— at issue —")</f>
        <v/>
      </c>
      <c r="C108" s="6" t="inlineStr">
        <is>
          <t>no</t>
        </is>
      </c>
      <c r="D108" s="5">
        <f>IF(A108="","",MAX(E108,IF(ISNUMBER(I108),I108,0),IFERROR(IF(ISNUMBER(INDEX('iCoA Register'!$F:$F,MATCH(S108,'iCoA Register'!$P:$P,0))),(INDEX('iCoA Register'!$F:$F,MATCH(S108,'iCoA Register'!$P:$P,0)))+CHOOSE(WEEKDAY(INDEX('iCoA Register'!$F:$F,MATCH(S108,'iCoA Register'!$P:$P,0)),2),0,0,0,0,0,2,1),0),0)))</f>
        <v/>
      </c>
      <c r="E108" s="5">
        <f>IF(ISNUMBER(F108),MAX(DATE(2026,5,27),(F108+7)+CHOOSE(WEEKDAY(F108+7,2),0,0,0,0,0,2,1)),"at retest sampling")</f>
        <v/>
      </c>
      <c r="F108" s="5" t="inlineStr">
        <is>
          <t>— not yet sampled —</t>
        </is>
      </c>
      <c r="G108" s="2" t="inlineStr">
        <is>
          <t>—</t>
        </is>
      </c>
      <c r="H108" s="2">
        <f>IFERROR(INDEX('iCoA Register'!$B:$B,MATCH("P050222|R",'iCoA Register'!$P:$P,0)),"—")</f>
        <v/>
      </c>
      <c r="I108" s="5">
        <f>IFERROR(INDEX('iCoA Register'!$D:$D,MATCH("P050222|R",'iCoA Register'!$P:$P,0)),"")</f>
        <v/>
      </c>
      <c r="J108" s="2" t="inlineStr">
        <is>
          <t>legacy</t>
        </is>
      </c>
      <c r="K108" s="2" t="inlineStr">
        <is>
          <t>retest — not yet sampled</t>
        </is>
      </c>
      <c r="L108" s="3" t="inlineStr">
        <is>
          <t>CJ062501/1</t>
        </is>
      </c>
      <c r="M108" s="2" t="inlineStr">
        <is>
          <t>P050222</t>
        </is>
      </c>
      <c r="N108" s="2" t="inlineStr">
        <is>
          <t>Cap Junkie</t>
        </is>
      </c>
      <c r="O108" s="6" t="inlineStr">
        <is>
          <t>— retest assay not yet on file —</t>
        </is>
      </c>
      <c r="P108" s="6" t="inlineStr">
        <is>
          <t>—</t>
        </is>
      </c>
      <c r="Q108" s="2" t="inlineStr">
        <is>
          <t>—</t>
        </is>
      </c>
      <c r="R108" s="2" t="inlineStr">
        <is>
          <t>CoQ reissue (assigned on issue)</t>
        </is>
      </c>
      <c r="S108" s="2" t="inlineStr">
        <is>
          <t>P050222|R</t>
        </is>
      </c>
      <c r="T108" s="9" t="inlineStr">
        <is>
          <t>not yet issuable — pending — not yet sampled · issued on the first working day 7 days after the latest retest certificate, once the in-house iCoA exists</t>
        </is>
      </c>
    </row>
    <row r="109">
      <c r="A109" s="2">
        <f>IF(C109="yes",COUNT(A$1:A108)+1,"")</f>
        <v/>
      </c>
      <c r="B109" s="3">
        <f>IF(A109&lt;&gt;"","CoQ-PP_26-"&amp;TEXT(A109,"000"),"— at issue —")</f>
        <v/>
      </c>
      <c r="C109" s="6" t="inlineStr">
        <is>
          <t>no</t>
        </is>
      </c>
      <c r="D109" s="5">
        <f>IF(A109="","",MAX(E109,IF(ISNUMBER(I109),I109,0),IFERROR(IF(ISNUMBER(INDEX('iCoA Register'!$F:$F,MATCH(S109,'iCoA Register'!$P:$P,0))),(INDEX('iCoA Register'!$F:$F,MATCH(S109,'iCoA Register'!$P:$P,0)))+CHOOSE(WEEKDAY(INDEX('iCoA Register'!$F:$F,MATCH(S109,'iCoA Register'!$P:$P,0)),2),0,0,0,0,0,2,1),0),0)))</f>
        <v/>
      </c>
      <c r="E109" s="5">
        <f>IF(ISNUMBER(F109),MAX(DATE(2026,5,27),(F109+7)+CHOOSE(WEEKDAY(F109+7,2),0,0,0,0,0,2,1)),"at retest sampling")</f>
        <v/>
      </c>
      <c r="F109" s="5" t="n">
        <v>46266</v>
      </c>
      <c r="G109" s="2" t="inlineStr">
        <is>
          <t>556-1087-26</t>
        </is>
      </c>
      <c r="H109" s="2">
        <f>IFERROR(INDEX('iCoA Register'!$B:$B,MATCH("P050252|R",'iCoA Register'!$P:$P,0)),"—")</f>
        <v/>
      </c>
      <c r="I109" s="5">
        <f>IFERROR(INDEX('iCoA Register'!$D:$D,MATCH("P050252|R",'iCoA Register'!$P:$P,0)),"")</f>
        <v/>
      </c>
      <c r="J109" s="2" t="inlineStr">
        <is>
          <t>legacy</t>
        </is>
      </c>
      <c r="K109" s="2" t="inlineStr">
        <is>
          <t>retest — sampled — Tranche 2/3 (potency and mycotoxins pending)</t>
        </is>
      </c>
      <c r="L109" s="3" t="inlineStr">
        <is>
          <t>CJ072501</t>
        </is>
      </c>
      <c r="M109" s="2" t="inlineStr">
        <is>
          <t>P050252</t>
        </is>
      </c>
      <c r="N109" s="2" t="inlineStr">
        <is>
          <t>Cap Junky</t>
        </is>
      </c>
      <c r="O109" s="6" t="inlineStr">
        <is>
          <t>— retest assay not yet on file —</t>
        </is>
      </c>
      <c r="P109" s="6" t="inlineStr">
        <is>
          <t>—</t>
        </is>
      </c>
      <c r="Q109" s="2" t="inlineStr">
        <is>
          <t>—</t>
        </is>
      </c>
      <c r="R109" s="2" t="inlineStr">
        <is>
          <t>CoQ reissue (assigned on issue)</t>
        </is>
      </c>
      <c r="S109" s="2" t="inlineStr">
        <is>
          <t>P050252|R</t>
        </is>
      </c>
      <c r="T109" s="9" t="inlineStr">
        <is>
          <t>not yet issuable — sampled — microbiology on file, retest assay pending · issued on the first working day 7 days after the latest retest certificate, once the in-house iCoA exists</t>
        </is>
      </c>
    </row>
    <row r="110">
      <c r="A110" s="2">
        <f>IF(C110="yes",COUNT(A$1:A109)+1,"")</f>
        <v/>
      </c>
      <c r="B110" s="3">
        <f>IF(A110&lt;&gt;"","CoQ-PP_26-"&amp;TEXT(A110,"000"),"— at issue —")</f>
        <v/>
      </c>
      <c r="C110" s="6" t="inlineStr">
        <is>
          <t>no</t>
        </is>
      </c>
      <c r="D110" s="5">
        <f>IF(A110="","",MAX(E110,IF(ISNUMBER(I110),I110,0),IFERROR(IF(ISNUMBER(INDEX('iCoA Register'!$F:$F,MATCH(S110,'iCoA Register'!$P:$P,0))),(INDEX('iCoA Register'!$F:$F,MATCH(S110,'iCoA Register'!$P:$P,0)))+CHOOSE(WEEKDAY(INDEX('iCoA Register'!$F:$F,MATCH(S110,'iCoA Register'!$P:$P,0)),2),0,0,0,0,0,2,1),0),0)))</f>
        <v/>
      </c>
      <c r="E110" s="5">
        <f>IF(ISNUMBER(F110),MAX(DATE(2026,5,27),(F110+7)+CHOOSE(WEEKDAY(F110+7,2),0,0,0,0,0,2,1)),"at retest sampling")</f>
        <v/>
      </c>
      <c r="F110" s="5" t="n">
        <v>46266</v>
      </c>
      <c r="G110" s="2" t="inlineStr">
        <is>
          <t>555-1086-26</t>
        </is>
      </c>
      <c r="H110" s="2">
        <f>IFERROR(INDEX('iCoA Register'!$B:$B,MATCH("P050262|R",'iCoA Register'!$P:$P,0)),"—")</f>
        <v/>
      </c>
      <c r="I110" s="5">
        <f>IFERROR(INDEX('iCoA Register'!$D:$D,MATCH("P050262|R",'iCoA Register'!$P:$P,0)),"")</f>
        <v/>
      </c>
      <c r="J110" s="2" t="inlineStr">
        <is>
          <t>legacy</t>
        </is>
      </c>
      <c r="K110" s="2" t="inlineStr">
        <is>
          <t>retest — sampled — Tranche 2/3 (potency and mycotoxins pending)</t>
        </is>
      </c>
      <c r="L110" s="3" t="inlineStr">
        <is>
          <t>WC072501</t>
        </is>
      </c>
      <c r="M110" s="2" t="inlineStr">
        <is>
          <t>P050262</t>
        </is>
      </c>
      <c r="N110" s="2" t="inlineStr">
        <is>
          <t>Wedding Crusher</t>
        </is>
      </c>
      <c r="O110" s="6" t="inlineStr">
        <is>
          <t>— retest assay not yet on file —</t>
        </is>
      </c>
      <c r="P110" s="6" t="inlineStr">
        <is>
          <t>—</t>
        </is>
      </c>
      <c r="Q110" s="2" t="inlineStr">
        <is>
          <t>—</t>
        </is>
      </c>
      <c r="R110" s="2" t="inlineStr">
        <is>
          <t>CoQ reissue (assigned on issue)</t>
        </is>
      </c>
      <c r="S110" s="2" t="inlineStr">
        <is>
          <t>P050262|R</t>
        </is>
      </c>
      <c r="T110" s="9" t="inlineStr">
        <is>
          <t>not yet issuable — sampled — microbiology on file, retest assay pending · issued on the first working day 7 days after the latest retest certificate, once the in-house iCoA exists</t>
        </is>
      </c>
    </row>
    <row r="111">
      <c r="A111" s="2">
        <f>IF(C111="yes",COUNT(A$1:A110)+1,"")</f>
        <v/>
      </c>
      <c r="B111" s="3">
        <f>IF(A111&lt;&gt;"","CoQ-PP_26-"&amp;TEXT(A111,"000"),"— at issue —")</f>
        <v/>
      </c>
      <c r="C111" s="6" t="inlineStr">
        <is>
          <t>no</t>
        </is>
      </c>
      <c r="D111" s="5">
        <f>IF(A111="","",MAX(E111,IF(ISNUMBER(I111),I111,0),IFERROR(IF(ISNUMBER(INDEX('iCoA Register'!$F:$F,MATCH(S111,'iCoA Register'!$P:$P,0))),(INDEX('iCoA Register'!$F:$F,MATCH(S111,'iCoA Register'!$P:$P,0)))+CHOOSE(WEEKDAY(INDEX('iCoA Register'!$F:$F,MATCH(S111,'iCoA Register'!$P:$P,0)),2),0,0,0,0,0,2,1),0),0)))</f>
        <v/>
      </c>
      <c r="E111" s="5">
        <f>IF(ISNUMBER(F111),MAX(DATE(2026,5,27),(F111+7)+CHOOSE(WEEKDAY(F111+7,2),0,0,0,0,0,2,1)),"at retest sampling")</f>
        <v/>
      </c>
      <c r="F111" s="5" t="inlineStr">
        <is>
          <t>— not yet sampled —</t>
        </is>
      </c>
      <c r="G111" s="2" t="inlineStr">
        <is>
          <t>—</t>
        </is>
      </c>
      <c r="H111" s="2">
        <f>IFERROR(INDEX('iCoA Register'!$B:$B,MATCH("P050282|R",'iCoA Register'!$P:$P,0)),"—")</f>
        <v/>
      </c>
      <c r="I111" s="5">
        <f>IFERROR(INDEX('iCoA Register'!$D:$D,MATCH("P050282|R",'iCoA Register'!$P:$P,0)),"")</f>
        <v/>
      </c>
      <c r="J111" s="2" t="inlineStr">
        <is>
          <t>legacy</t>
        </is>
      </c>
      <c r="K111" s="2" t="inlineStr">
        <is>
          <t>retest — not yet sampled</t>
        </is>
      </c>
      <c r="L111" s="3" t="inlineStr">
        <is>
          <t>CLE072501</t>
        </is>
      </c>
      <c r="M111" s="2" t="inlineStr">
        <is>
          <t>P050282</t>
        </is>
      </c>
      <c r="N111" s="2" t="inlineStr">
        <is>
          <t>Clemosa a bud</t>
        </is>
      </c>
      <c r="O111" s="6" t="inlineStr">
        <is>
          <t>— retest assay not yet on file —</t>
        </is>
      </c>
      <c r="P111" s="6" t="inlineStr">
        <is>
          <t>—</t>
        </is>
      </c>
      <c r="Q111" s="2" t="inlineStr">
        <is>
          <t>—</t>
        </is>
      </c>
      <c r="R111" s="2" t="inlineStr">
        <is>
          <t>CoQ reissue (assigned on issue)</t>
        </is>
      </c>
      <c r="S111" s="2" t="inlineStr">
        <is>
          <t>P050282|R</t>
        </is>
      </c>
      <c r="T111" s="9" t="inlineStr">
        <is>
          <t>not yet issuable — pending — not yet sampled · issued on the first working day 7 days after the latest retest certificate, once the in-house iCoA exists</t>
        </is>
      </c>
    </row>
    <row r="112">
      <c r="A112" s="2">
        <f>IF(C112="yes",COUNT(A$1:A111)+1,"")</f>
        <v/>
      </c>
      <c r="B112" s="3">
        <f>IF(A112&lt;&gt;"","CoQ-PP_26-"&amp;TEXT(A112,"000"),"— at issue —")</f>
        <v/>
      </c>
      <c r="C112" s="6" t="inlineStr">
        <is>
          <t>no</t>
        </is>
      </c>
      <c r="D112" s="5">
        <f>IF(A112="","",MAX(E112,IF(ISNUMBER(I112),I112,0),IFERROR(IF(ISNUMBER(INDEX('iCoA Register'!$F:$F,MATCH(S112,'iCoA Register'!$P:$P,0))),(INDEX('iCoA Register'!$F:$F,MATCH(S112,'iCoA Register'!$P:$P,0)))+CHOOSE(WEEKDAY(INDEX('iCoA Register'!$F:$F,MATCH(S112,'iCoA Register'!$P:$P,0)),2),0,0,0,0,0,2,1),0),0)))</f>
        <v/>
      </c>
      <c r="E112" s="5">
        <f>IF(ISNUMBER(F112),MAX(DATE(2026,5,27),(F112+7)+CHOOSE(WEEKDAY(F112+7,2),0,0,0,0,0,2,1)),"at retest sampling")</f>
        <v/>
      </c>
      <c r="F112" s="5" t="inlineStr">
        <is>
          <t>— not yet sampled —</t>
        </is>
      </c>
      <c r="G112" s="2" t="inlineStr">
        <is>
          <t>—</t>
        </is>
      </c>
      <c r="H112" s="2">
        <f>IFERROR(INDEX('iCoA Register'!$B:$B,MATCH("P050302|R",'iCoA Register'!$P:$P,0)),"—")</f>
        <v/>
      </c>
      <c r="I112" s="5">
        <f>IFERROR(INDEX('iCoA Register'!$D:$D,MATCH("P050302|R",'iCoA Register'!$P:$P,0)),"")</f>
        <v/>
      </c>
      <c r="J112" s="2" t="inlineStr">
        <is>
          <t>legacy</t>
        </is>
      </c>
      <c r="K112" s="2" t="inlineStr">
        <is>
          <t>retest — not yet sampled</t>
        </is>
      </c>
      <c r="L112" s="3" t="inlineStr">
        <is>
          <t>GP072501/2</t>
        </is>
      </c>
      <c r="M112" s="2" t="inlineStr">
        <is>
          <t>P050302</t>
        </is>
      </c>
      <c r="N112" s="2" t="inlineStr">
        <is>
          <t>Grape Pie</t>
        </is>
      </c>
      <c r="O112" s="6" t="inlineStr">
        <is>
          <t>— retest assay not yet on file —</t>
        </is>
      </c>
      <c r="P112" s="6" t="inlineStr">
        <is>
          <t>—</t>
        </is>
      </c>
      <c r="Q112" s="2" t="inlineStr">
        <is>
          <t>—</t>
        </is>
      </c>
      <c r="R112" s="2" t="inlineStr">
        <is>
          <t>CoQ reissue (assigned on issue)</t>
        </is>
      </c>
      <c r="S112" s="2" t="inlineStr">
        <is>
          <t>P050302|R</t>
        </is>
      </c>
      <c r="T112" s="9" t="inlineStr">
        <is>
          <t>not yet issuable — pending — not yet sampled · issued on the first working day 7 days after the latest retest certificate, once the in-house iCoA exists</t>
        </is>
      </c>
    </row>
    <row r="113">
      <c r="A113" s="2">
        <f>IF(C113="yes",COUNT(A$1:A112)+1,"")</f>
        <v/>
      </c>
      <c r="B113" s="3">
        <f>IF(A113&lt;&gt;"","CoQ-PP_26-"&amp;TEXT(A113,"000"),"— at issue —")</f>
        <v/>
      </c>
      <c r="C113" s="6" t="inlineStr">
        <is>
          <t>no</t>
        </is>
      </c>
      <c r="D113" s="5">
        <f>IF(A113="","",MAX(E113,IF(ISNUMBER(I113),I113,0),IFERROR(IF(ISNUMBER(INDEX('iCoA Register'!$F:$F,MATCH(S113,'iCoA Register'!$P:$P,0))),(INDEX('iCoA Register'!$F:$F,MATCH(S113,'iCoA Register'!$P:$P,0)))+CHOOSE(WEEKDAY(INDEX('iCoA Register'!$F:$F,MATCH(S113,'iCoA Register'!$P:$P,0)),2),0,0,0,0,0,2,1),0),0)))</f>
        <v/>
      </c>
      <c r="E113" s="5">
        <f>IF(ISNUMBER(F113),MAX(DATE(2026,5,27),(F113+7)+CHOOSE(WEEKDAY(F113+7,2),0,0,0,0,0,2,1)),"at retest sampling")</f>
        <v/>
      </c>
      <c r="F113" s="5" t="inlineStr">
        <is>
          <t>— not yet sampled —</t>
        </is>
      </c>
      <c r="G113" s="2" t="inlineStr">
        <is>
          <t>—</t>
        </is>
      </c>
      <c r="H113" s="2">
        <f>IFERROR(INDEX('iCoA Register'!$B:$B,MATCH("P050312|R",'iCoA Register'!$P:$P,0)),"—")</f>
        <v/>
      </c>
      <c r="I113" s="5">
        <f>IFERROR(INDEX('iCoA Register'!$D:$D,MATCH("P050312|R",'iCoA Register'!$P:$P,0)),"")</f>
        <v/>
      </c>
      <c r="J113" s="2" t="inlineStr">
        <is>
          <t>legacy</t>
        </is>
      </c>
      <c r="K113" s="2" t="inlineStr">
        <is>
          <t>retest — not yet sampled</t>
        </is>
      </c>
      <c r="L113" s="3" t="inlineStr">
        <is>
          <t>GP082501/1</t>
        </is>
      </c>
      <c r="M113" s="2" t="inlineStr">
        <is>
          <t>P050312</t>
        </is>
      </c>
      <c r="N113" s="2" t="inlineStr">
        <is>
          <t>Grape Pie</t>
        </is>
      </c>
      <c r="O113" s="6" t="inlineStr">
        <is>
          <t>— retest assay not yet on file —</t>
        </is>
      </c>
      <c r="P113" s="6" t="inlineStr">
        <is>
          <t>—</t>
        </is>
      </c>
      <c r="Q113" s="2" t="inlineStr">
        <is>
          <t>—</t>
        </is>
      </c>
      <c r="R113" s="2" t="inlineStr">
        <is>
          <t>CoQ reissue (assigned on issue)</t>
        </is>
      </c>
      <c r="S113" s="2" t="inlineStr">
        <is>
          <t>P050312|R</t>
        </is>
      </c>
      <c r="T113" s="9" t="inlineStr">
        <is>
          <t>not yet issuable — pending — not yet sampled · issued on the first working day 7 days after the latest retest certificate, once the in-house iCoA exists</t>
        </is>
      </c>
    </row>
    <row r="114">
      <c r="A114" s="2">
        <f>IF(C114="yes",COUNT(A$1:A113)+1,"")</f>
        <v/>
      </c>
      <c r="B114" s="3">
        <f>IF(A114&lt;&gt;"","CoQ-PP_26-"&amp;TEXT(A114,"000"),"— at issue —")</f>
        <v/>
      </c>
      <c r="C114" s="6" t="inlineStr">
        <is>
          <t>no</t>
        </is>
      </c>
      <c r="D114" s="5">
        <f>IF(A114="","",MAX(E114,IF(ISNUMBER(I114),I114,0),IFERROR(IF(ISNUMBER(INDEX('iCoA Register'!$F:$F,MATCH(S114,'iCoA Register'!$P:$P,0))),(INDEX('iCoA Register'!$F:$F,MATCH(S114,'iCoA Register'!$P:$P,0)))+CHOOSE(WEEKDAY(INDEX('iCoA Register'!$F:$F,MATCH(S114,'iCoA Register'!$P:$P,0)),2),0,0,0,0,0,2,1),0),0)))</f>
        <v/>
      </c>
      <c r="E114" s="5">
        <f>IF(ISNUMBER(F114),MAX(DATE(2026,5,27),(F114+7)+CHOOSE(WEEKDAY(F114+7,2),0,0,0,0,0,2,1)),"at retest sampling")</f>
        <v/>
      </c>
      <c r="F114" s="5" t="n">
        <v>46244</v>
      </c>
      <c r="G114" s="2" t="inlineStr">
        <is>
          <t>197-12-M-26</t>
        </is>
      </c>
      <c r="H114" s="2">
        <f>IFERROR(INDEX('iCoA Register'!$B:$B,MATCH("P050322|R",'iCoA Register'!$P:$P,0)),"—")</f>
        <v/>
      </c>
      <c r="I114" s="5">
        <f>IFERROR(INDEX('iCoA Register'!$D:$D,MATCH("P050322|R",'iCoA Register'!$P:$P,0)),"")</f>
        <v/>
      </c>
      <c r="J114" s="2" t="inlineStr">
        <is>
          <t>legacy</t>
        </is>
      </c>
      <c r="K114" s="2" t="inlineStr">
        <is>
          <t>retest — Tranche 1 (sampled July 2026)</t>
        </is>
      </c>
      <c r="L114" s="3" t="inlineStr">
        <is>
          <t>GP082501/2</t>
        </is>
      </c>
      <c r="M114" s="2" t="inlineStr">
        <is>
          <t>P050322</t>
        </is>
      </c>
      <c r="N114" s="2" t="inlineStr">
        <is>
          <t>Grape Pie</t>
        </is>
      </c>
      <c r="O114" s="2" t="inlineStr">
        <is>
          <t>197-12-K-26, (07.08.2026) [FHM-K]</t>
        </is>
      </c>
      <c r="P114" s="6" t="inlineStr">
        <is>
          <t>—</t>
        </is>
      </c>
      <c r="Q114" s="2" t="inlineStr">
        <is>
          <t>—</t>
        </is>
      </c>
      <c r="R114" s="2" t="inlineStr">
        <is>
          <t>CoQ reissue (assigned on issue)</t>
        </is>
      </c>
      <c r="S114" s="2" t="inlineStr">
        <is>
          <t>P050322|R</t>
        </is>
      </c>
      <c r="T114" s="9" t="inlineStr">
        <is>
          <t>not yet issuable — due — retest assay, mycotoxins on file; in-house iCoA to test · issued on the first working day 7 days after the latest retest certificate, once the in-house iCoA exists</t>
        </is>
      </c>
    </row>
    <row r="115">
      <c r="A115" s="2">
        <f>IF(C115="yes",COUNT(A$1:A114)+1,"")</f>
        <v/>
      </c>
      <c r="B115" s="3">
        <f>IF(A115&lt;&gt;"","CoQ-PP_26-"&amp;TEXT(A115,"000"),"— at issue —")</f>
        <v/>
      </c>
      <c r="C115" s="6" t="inlineStr">
        <is>
          <t>no</t>
        </is>
      </c>
      <c r="D115" s="5">
        <f>IF(A115="","",MAX(E115,IF(ISNUMBER(I115),I115,0),IFERROR(IF(ISNUMBER(INDEX('iCoA Register'!$F:$F,MATCH(S115,'iCoA Register'!$P:$P,0))),(INDEX('iCoA Register'!$F:$F,MATCH(S115,'iCoA Register'!$P:$P,0)))+CHOOSE(WEEKDAY(INDEX('iCoA Register'!$F:$F,MATCH(S115,'iCoA Register'!$P:$P,0)),2),0,0,0,0,0,2,1),0),0)))</f>
        <v/>
      </c>
      <c r="E115" s="5">
        <f>IF(ISNUMBER(F115),MAX(DATE(2026,5,27),(F115+7)+CHOOSE(WEEKDAY(F115+7,2),0,0,0,0,0,2,1)),"at retest sampling")</f>
        <v/>
      </c>
      <c r="F115" s="5" t="inlineStr">
        <is>
          <t>— not yet sampled —</t>
        </is>
      </c>
      <c r="G115" s="2" t="inlineStr">
        <is>
          <t>—</t>
        </is>
      </c>
      <c r="H115" s="2">
        <f>IFERROR(INDEX('iCoA Register'!$B:$B,MATCH("P060012|R",'iCoA Register'!$P:$P,0)),"—")</f>
        <v/>
      </c>
      <c r="I115" s="5">
        <f>IFERROR(INDEX('iCoA Register'!$D:$D,MATCH("P060012|R",'iCoA Register'!$P:$P,0)),"")</f>
        <v/>
      </c>
      <c r="J115" s="2" t="inlineStr">
        <is>
          <t>legacy</t>
        </is>
      </c>
      <c r="K115" s="2" t="inlineStr">
        <is>
          <t>retest — not yet sampled</t>
        </is>
      </c>
      <c r="L115" s="3" t="inlineStr">
        <is>
          <t>WC082501</t>
        </is>
      </c>
      <c r="M115" s="2" t="inlineStr">
        <is>
          <t>P060012</t>
        </is>
      </c>
      <c r="N115" s="2" t="inlineStr">
        <is>
          <t>Wedding Crasher</t>
        </is>
      </c>
      <c r="O115" s="6" t="inlineStr">
        <is>
          <t>— retest assay not yet on file —</t>
        </is>
      </c>
      <c r="P115" s="6" t="inlineStr">
        <is>
          <t>—</t>
        </is>
      </c>
      <c r="Q115" s="2" t="inlineStr">
        <is>
          <t>—</t>
        </is>
      </c>
      <c r="R115" s="2" t="inlineStr">
        <is>
          <t>CoQ reissue (assigned on issue)</t>
        </is>
      </c>
      <c r="S115" s="2" t="inlineStr">
        <is>
          <t>P060012|R</t>
        </is>
      </c>
      <c r="T115" s="9" t="inlineStr">
        <is>
          <t>not yet issuable — pending — not yet sampled · issued on the first working day 7 days after the latest retest certificate, once the in-house iCoA exists</t>
        </is>
      </c>
    </row>
    <row r="116">
      <c r="A116" s="2">
        <f>IF(C116="yes",COUNT(A$1:A115)+1,"")</f>
        <v/>
      </c>
      <c r="B116" s="3">
        <f>IF(A116&lt;&gt;"","CoQ-PP_26-"&amp;TEXT(A116,"000"),"— at issue —")</f>
        <v/>
      </c>
      <c r="C116" s="6" t="inlineStr">
        <is>
          <t>no</t>
        </is>
      </c>
      <c r="D116" s="5">
        <f>IF(A116="","",MAX(E116,IF(ISNUMBER(I116),I116,0),IFERROR(IF(ISNUMBER(INDEX('iCoA Register'!$F:$F,MATCH(S116,'iCoA Register'!$P:$P,0))),(INDEX('iCoA Register'!$F:$F,MATCH(S116,'iCoA Register'!$P:$P,0)))+CHOOSE(WEEKDAY(INDEX('iCoA Register'!$F:$F,MATCH(S116,'iCoA Register'!$P:$P,0)),2),0,0,0,0,0,2,1),0),0)))</f>
        <v/>
      </c>
      <c r="E116" s="5">
        <f>IF(ISNUMBER(F116),MAX(DATE(2026,5,27),(F116+7)+CHOOSE(WEEKDAY(F116+7,2),0,0,0,0,0,2,1)),"at retest sampling")</f>
        <v/>
      </c>
      <c r="F116" s="5" t="inlineStr">
        <is>
          <t>— not yet sampled —</t>
        </is>
      </c>
      <c r="G116" s="2" t="inlineStr">
        <is>
          <t>—</t>
        </is>
      </c>
      <c r="H116" s="2">
        <f>IFERROR(INDEX('iCoA Register'!$B:$B,MATCH("P060022|R",'iCoA Register'!$P:$P,0)),"—")</f>
        <v/>
      </c>
      <c r="I116" s="5">
        <f>IFERROR(INDEX('iCoA Register'!$D:$D,MATCH("P060022|R",'iCoA Register'!$P:$P,0)),"")</f>
        <v/>
      </c>
      <c r="J116" s="2" t="inlineStr">
        <is>
          <t>legacy</t>
        </is>
      </c>
      <c r="K116" s="2" t="inlineStr">
        <is>
          <t>retest — not yet sampled</t>
        </is>
      </c>
      <c r="L116" s="3" t="inlineStr">
        <is>
          <t>CJ082501/1</t>
        </is>
      </c>
      <c r="M116" s="2" t="inlineStr">
        <is>
          <t>P060022</t>
        </is>
      </c>
      <c r="N116" s="2" t="inlineStr">
        <is>
          <t>Cap Junky</t>
        </is>
      </c>
      <c r="O116" s="6" t="inlineStr">
        <is>
          <t>— retest assay not yet on file —</t>
        </is>
      </c>
      <c r="P116" s="6" t="inlineStr">
        <is>
          <t>—</t>
        </is>
      </c>
      <c r="Q116" s="2" t="inlineStr">
        <is>
          <t>—</t>
        </is>
      </c>
      <c r="R116" s="2" t="inlineStr">
        <is>
          <t>CoQ reissue (assigned on issue)</t>
        </is>
      </c>
      <c r="S116" s="2" t="inlineStr">
        <is>
          <t>P060022|R</t>
        </is>
      </c>
      <c r="T116" s="9" t="inlineStr">
        <is>
          <t>not yet issuable — pending — not yet sampled · issued on the first working day 7 days after the latest retest certificate, once the in-house iCoA exists</t>
        </is>
      </c>
    </row>
    <row r="117">
      <c r="A117" s="2">
        <f>IF(C117="yes",COUNT(A$1:A116)+1,"")</f>
        <v/>
      </c>
      <c r="B117" s="3">
        <f>IF(A117&lt;&gt;"","CoQ-PP_26-"&amp;TEXT(A117,"000"),"— at issue —")</f>
        <v/>
      </c>
      <c r="C117" s="6" t="inlineStr">
        <is>
          <t>no</t>
        </is>
      </c>
      <c r="D117" s="5">
        <f>IF(A117="","",MAX(E117,IF(ISNUMBER(I117),I117,0),IFERROR(IF(ISNUMBER(INDEX('iCoA Register'!$F:$F,MATCH(S117,'iCoA Register'!$P:$P,0))),(INDEX('iCoA Register'!$F:$F,MATCH(S117,'iCoA Register'!$P:$P,0)))+CHOOSE(WEEKDAY(INDEX('iCoA Register'!$F:$F,MATCH(S117,'iCoA Register'!$P:$P,0)),2),0,0,0,0,0,2,1),0),0)))</f>
        <v/>
      </c>
      <c r="E117" s="5">
        <f>IF(ISNUMBER(F117),MAX(DATE(2026,5,27),(F117+7)+CHOOSE(WEEKDAY(F117+7,2),0,0,0,0,0,2,1)),"at retest sampling")</f>
        <v/>
      </c>
      <c r="F117" s="5" t="n">
        <v>46266</v>
      </c>
      <c r="G117" s="2" t="inlineStr">
        <is>
          <t>553-1084-26</t>
        </is>
      </c>
      <c r="H117" s="2">
        <f>IFERROR(INDEX('iCoA Register'!$B:$B,MATCH("P050292|R",'iCoA Register'!$P:$P,0)),"—")</f>
        <v/>
      </c>
      <c r="I117" s="5">
        <f>IFERROR(INDEX('iCoA Register'!$D:$D,MATCH("P050292|R",'iCoA Register'!$P:$P,0)),"")</f>
        <v/>
      </c>
      <c r="J117" s="2" t="inlineStr">
        <is>
          <t>legacy</t>
        </is>
      </c>
      <c r="K117" s="2" t="inlineStr">
        <is>
          <t>retest — sampled — Tranche 2/3 (potency and mycotoxins pending)</t>
        </is>
      </c>
      <c r="L117" s="3" t="inlineStr">
        <is>
          <t>GP072501/1</t>
        </is>
      </c>
      <c r="M117" s="2" t="inlineStr">
        <is>
          <t>P050292</t>
        </is>
      </c>
      <c r="N117" s="2" t="inlineStr">
        <is>
          <t>Grape Pie</t>
        </is>
      </c>
      <c r="O117" s="6" t="inlineStr">
        <is>
          <t>— retest assay not yet on file —</t>
        </is>
      </c>
      <c r="P117" s="6" t="inlineStr">
        <is>
          <t>—</t>
        </is>
      </c>
      <c r="Q117" s="2" t="inlineStr">
        <is>
          <t>—</t>
        </is>
      </c>
      <c r="R117" s="2" t="inlineStr">
        <is>
          <t>CoQ reissue (assigned on issue)</t>
        </is>
      </c>
      <c r="S117" s="2" t="inlineStr">
        <is>
          <t>P050292|R</t>
        </is>
      </c>
      <c r="T117" s="9" t="inlineStr">
        <is>
          <t>not yet issuable — sampled — microbiology on file, retest assay pending · issued on the first working day 7 days after the latest retest certificate, once the in-house iCoA exists</t>
        </is>
      </c>
    </row>
    <row r="118">
      <c r="A118" s="2">
        <f>IF(C118="yes",COUNT(A$1:A117)+1,"")</f>
        <v/>
      </c>
      <c r="B118" s="3">
        <f>IF(A118&lt;&gt;"","CoQ-PP_26-"&amp;TEXT(A118,"000"),"— at issue —")</f>
        <v/>
      </c>
      <c r="C118" s="6" t="inlineStr">
        <is>
          <t>no</t>
        </is>
      </c>
      <c r="D118" s="5">
        <f>IF(A118="","",MAX(E118,IF(ISNUMBER(I118),I118,0),IFERROR(IF(ISNUMBER(INDEX('iCoA Register'!$F:$F,MATCH(S118,'iCoA Register'!$P:$P,0))),(INDEX('iCoA Register'!$F:$F,MATCH(S118,'iCoA Register'!$P:$P,0)))+CHOOSE(WEEKDAY(INDEX('iCoA Register'!$F:$F,MATCH(S118,'iCoA Register'!$P:$P,0)),2),0,0,0,0,0,2,1),0),0)))</f>
        <v/>
      </c>
      <c r="E118" s="5">
        <f>IF(ISNUMBER(F118),MAX(DATE(2026,5,27),(F118+7)+CHOOSE(WEEKDAY(F118+7,2),0,0,0,0,0,2,1)),"at retest sampling")</f>
        <v/>
      </c>
      <c r="F118" s="5" t="n">
        <v>46266</v>
      </c>
      <c r="G118" s="2" t="inlineStr">
        <is>
          <t>554-1085-26</t>
        </is>
      </c>
      <c r="H118" s="2">
        <f>IFERROR(INDEX('iCoA Register'!$B:$B,MATCH("P050272|R",'iCoA Register'!$P:$P,0)),"—")</f>
        <v/>
      </c>
      <c r="I118" s="5">
        <f>IFERROR(INDEX('iCoA Register'!$D:$D,MATCH("P050272|R",'iCoA Register'!$P:$P,0)),"")</f>
        <v/>
      </c>
      <c r="J118" s="2" t="inlineStr">
        <is>
          <t>legacy</t>
        </is>
      </c>
      <c r="K118" s="2" t="inlineStr">
        <is>
          <t>retest — sampled — Tranche 2/3 (potency and mycotoxins pending)</t>
        </is>
      </c>
      <c r="L118" s="3" t="inlineStr">
        <is>
          <t>PM072501</t>
        </is>
      </c>
      <c r="M118" s="2" t="inlineStr">
        <is>
          <t>P050272</t>
        </is>
      </c>
      <c r="N118" s="2" t="inlineStr">
        <is>
          <t>Permanent Marker</t>
        </is>
      </c>
      <c r="O118" s="6" t="inlineStr">
        <is>
          <t>— retest assay not yet on file —</t>
        </is>
      </c>
      <c r="P118" s="6" t="inlineStr">
        <is>
          <t>—</t>
        </is>
      </c>
      <c r="Q118" s="2" t="inlineStr">
        <is>
          <t>—</t>
        </is>
      </c>
      <c r="R118" s="2" t="inlineStr">
        <is>
          <t>CoQ reissue (assigned on issue)</t>
        </is>
      </c>
      <c r="S118" s="2" t="inlineStr">
        <is>
          <t>P050272|R</t>
        </is>
      </c>
      <c r="T118" s="9" t="inlineStr">
        <is>
          <t>not yet issuable — sampled — microbiology on file, retest assay pending · issued on the first working day 7 days after the latest retest certificate, once the in-house iCoA exists</t>
        </is>
      </c>
    </row>
    <row r="119">
      <c r="A119" s="2">
        <f>IF(C119="yes",COUNT(A$1:A118)+1,"")</f>
        <v/>
      </c>
      <c r="B119" s="3">
        <f>IF(A119&lt;&gt;"","CoQ-PP_26-"&amp;TEXT(A119,"000"),"— at issue —")</f>
        <v/>
      </c>
      <c r="C119" s="6" t="inlineStr">
        <is>
          <t>no</t>
        </is>
      </c>
      <c r="D119" s="5">
        <f>IF(A119="","",MAX(E119,IF(ISNUMBER(I119),I119,0),IFERROR(IF(ISNUMBER(INDEX('iCoA Register'!$F:$F,MATCH(S119,'iCoA Register'!$P:$P,0))),(INDEX('iCoA Register'!$F:$F,MATCH(S119,'iCoA Register'!$P:$P,0)))+CHOOSE(WEEKDAY(INDEX('iCoA Register'!$F:$F,MATCH(S119,'iCoA Register'!$P:$P,0)),2),0,0,0,0,0,2,1),0),0)))</f>
        <v/>
      </c>
      <c r="E119" s="5">
        <f>IF(ISNUMBER(F119),MAX(DATE(2026,5,27),(F119+7)+CHOOSE(WEEKDAY(F119+7,2),0,0,0,0,0,2,1)),"at retest sampling")</f>
        <v/>
      </c>
      <c r="F119" s="5" t="n">
        <v>46244</v>
      </c>
      <c r="G119" s="2" t="inlineStr">
        <is>
          <t>197-4-M-26</t>
        </is>
      </c>
      <c r="H119" s="2">
        <f>IFERROR(INDEX('iCoA Register'!$B:$B,MATCH("P050212|R",'iCoA Register'!$P:$P,0)),"—")</f>
        <v/>
      </c>
      <c r="I119" s="5">
        <f>IFERROR(INDEX('iCoA Register'!$D:$D,MATCH("P050212|R",'iCoA Register'!$P:$P,0)),"")</f>
        <v/>
      </c>
      <c r="J119" s="2" t="inlineStr">
        <is>
          <t>legacy</t>
        </is>
      </c>
      <c r="K119" s="2" t="inlineStr">
        <is>
          <t>retest — Tranche 1 (sampled July 2026)</t>
        </is>
      </c>
      <c r="L119" s="3" t="inlineStr">
        <is>
          <t>CJ062501/2</t>
        </is>
      </c>
      <c r="M119" s="2" t="inlineStr">
        <is>
          <t>P050212</t>
        </is>
      </c>
      <c r="N119" s="2" t="inlineStr">
        <is>
          <t>Cap Junkie</t>
        </is>
      </c>
      <c r="O119" s="2" t="inlineStr">
        <is>
          <t>197-4-K-26, (07.08.2026) [FHM-K]</t>
        </is>
      </c>
      <c r="P119" s="6" t="inlineStr">
        <is>
          <t>—</t>
        </is>
      </c>
      <c r="Q119" s="2" t="inlineStr">
        <is>
          <t>—</t>
        </is>
      </c>
      <c r="R119" s="2" t="inlineStr">
        <is>
          <t>CoQ reissue (assigned on issue)</t>
        </is>
      </c>
      <c r="S119" s="2" t="inlineStr">
        <is>
          <t>P050212|R</t>
        </is>
      </c>
      <c r="T119" s="9" t="inlineStr">
        <is>
          <t>not yet issuable — due — retest assay, mycotoxins on file; in-house iCoA to test · issued on the first working day 7 days after the latest retest certificate, once the in-house iCoA exists</t>
        </is>
      </c>
    </row>
    <row r="120">
      <c r="A120" s="2">
        <f>IF(C120="yes",COUNT(A$1:A119)+1,"")</f>
        <v/>
      </c>
      <c r="B120" s="3">
        <f>IF(A120&lt;&gt;"","CoQ-PP_26-"&amp;TEXT(A120,"000"),"— at issue —")</f>
        <v/>
      </c>
      <c r="C120" s="6" t="inlineStr">
        <is>
          <t>no</t>
        </is>
      </c>
      <c r="D120" s="5">
        <f>IF(A120="","",MAX(E120,IF(ISNUMBER(I120),I120,0),IFERROR(IF(ISNUMBER(INDEX('iCoA Register'!$F:$F,MATCH(S120,'iCoA Register'!$P:$P,0))),(INDEX('iCoA Register'!$F:$F,MATCH(S120,'iCoA Register'!$P:$P,0)))+CHOOSE(WEEKDAY(INDEX('iCoA Register'!$F:$F,MATCH(S120,'iCoA Register'!$P:$P,0)),2),0,0,0,0,0,2,1),0),0)))</f>
        <v/>
      </c>
      <c r="E120" s="5">
        <f>IF(ISNUMBER(F120),MAX(DATE(2026,5,27),(F120+7)+CHOOSE(WEEKDAY(F120+7,2),0,0,0,0,0,2,1)),"at retest sampling")</f>
        <v/>
      </c>
      <c r="F120" s="5" t="n">
        <v>46244</v>
      </c>
      <c r="G120" s="2" t="inlineStr">
        <is>
          <t>197-5-M-26</t>
        </is>
      </c>
      <c r="H120" s="2">
        <f>IFERROR(INDEX('iCoA Register'!$B:$B,MATCH("P060032|R",'iCoA Register'!$P:$P,0)),"—")</f>
        <v/>
      </c>
      <c r="I120" s="5">
        <f>IFERROR(INDEX('iCoA Register'!$D:$D,MATCH("P060032|R",'iCoA Register'!$P:$P,0)),"")</f>
        <v/>
      </c>
      <c r="J120" s="2" t="inlineStr">
        <is>
          <t>legacy</t>
        </is>
      </c>
      <c r="K120" s="2" t="inlineStr">
        <is>
          <t>retest — Tranche 1 (sampled July 2026)</t>
        </is>
      </c>
      <c r="L120" s="3" t="inlineStr">
        <is>
          <t>CJ082501/2</t>
        </is>
      </c>
      <c r="M120" s="2" t="inlineStr">
        <is>
          <t>P060032</t>
        </is>
      </c>
      <c r="N120" s="2" t="inlineStr">
        <is>
          <t>Cap Junky</t>
        </is>
      </c>
      <c r="O120" s="2" t="inlineStr">
        <is>
          <t>197-5-K-26, (07.08.2026) [FHM-K]</t>
        </is>
      </c>
      <c r="P120" s="6" t="inlineStr">
        <is>
          <t>—</t>
        </is>
      </c>
      <c r="Q120" s="2" t="inlineStr">
        <is>
          <t>—</t>
        </is>
      </c>
      <c r="R120" s="2" t="inlineStr">
        <is>
          <t>CoQ reissue (assigned on issue)</t>
        </is>
      </c>
      <c r="S120" s="2" t="inlineStr">
        <is>
          <t>P060032|R</t>
        </is>
      </c>
      <c r="T120" s="9" t="inlineStr">
        <is>
          <t>not yet issuable — due — retest assay, mycotoxins on file; in-house iCoA to test · issued on the first working day 7 days after the latest retest certificate, once the in-house iCoA exists</t>
        </is>
      </c>
    </row>
    <row r="121">
      <c r="A121" s="2">
        <f>IF(C121="yes",COUNT(A$1:A120)+1,"")</f>
        <v/>
      </c>
      <c r="B121" s="3">
        <f>IF(A121&lt;&gt;"","CoQ-PP_26-"&amp;TEXT(A121,"000"),"— at issue —")</f>
        <v/>
      </c>
      <c r="C121" s="6" t="inlineStr">
        <is>
          <t>no</t>
        </is>
      </c>
      <c r="D121" s="5">
        <f>IF(A121="","",MAX(E121,IF(ISNUMBER(I121),I121,0),IFERROR(IF(ISNUMBER(INDEX('iCoA Register'!$F:$F,MATCH(S121,'iCoA Register'!$P:$P,0))),(INDEX('iCoA Register'!$F:$F,MATCH(S121,'iCoA Register'!$P:$P,0)))+CHOOSE(WEEKDAY(INDEX('iCoA Register'!$F:$F,MATCH(S121,'iCoA Register'!$P:$P,0)),2),0,0,0,0,0,2,1),0),0)))</f>
        <v/>
      </c>
      <c r="E121" s="5">
        <f>IF(ISNUMBER(F121),MAX(DATE(2026,5,27),(F121+7)+CHOOSE(WEEKDAY(F121+7,2),0,0,0,0,0,2,1)),"at retest sampling")</f>
        <v/>
      </c>
      <c r="F121" s="5" t="inlineStr">
        <is>
          <t>— not yet sampled —</t>
        </is>
      </c>
      <c r="G121" s="2" t="inlineStr">
        <is>
          <t>—</t>
        </is>
      </c>
      <c r="H121" s="2">
        <f>IFERROR(INDEX('iCoA Register'!$B:$B,MATCH("P060042|R",'iCoA Register'!$P:$P,0)),"—")</f>
        <v/>
      </c>
      <c r="I121" s="5">
        <f>IFERROR(INDEX('iCoA Register'!$D:$D,MATCH("P060042|R",'iCoA Register'!$P:$P,0)),"")</f>
        <v/>
      </c>
      <c r="J121" s="2" t="inlineStr">
        <is>
          <t>legacy</t>
        </is>
      </c>
      <c r="K121" s="2" t="inlineStr">
        <is>
          <t>retest — not yet sampled</t>
        </is>
      </c>
      <c r="L121" s="3" t="inlineStr">
        <is>
          <t>OPM092501</t>
        </is>
      </c>
      <c r="M121" s="2" t="inlineStr">
        <is>
          <t>P060042</t>
        </is>
      </c>
      <c r="N121" s="2" t="inlineStr">
        <is>
          <t>Orange Punch Mimosa</t>
        </is>
      </c>
      <c r="O121" s="6" t="inlineStr">
        <is>
          <t>— retest assay not yet on file —</t>
        </is>
      </c>
      <c r="P121" s="6" t="inlineStr">
        <is>
          <t>—</t>
        </is>
      </c>
      <c r="Q121" s="2" t="inlineStr">
        <is>
          <t>—</t>
        </is>
      </c>
      <c r="R121" s="2" t="inlineStr">
        <is>
          <t>CoQ reissue (assigned on issue)</t>
        </is>
      </c>
      <c r="S121" s="2" t="inlineStr">
        <is>
          <t>P060042|R</t>
        </is>
      </c>
      <c r="T121" s="9" t="inlineStr">
        <is>
          <t>not yet issuable — pending — not yet sampled · issued on the first working day 7 days after the latest retest certificate, once the in-house iCoA exists</t>
        </is>
      </c>
    </row>
    <row r="122">
      <c r="A122" s="2">
        <f>IF(C122="yes",COUNT(A$1:A121)+1,"")</f>
        <v/>
      </c>
      <c r="B122" s="3">
        <f>IF(A122&lt;&gt;"","CoQ-PP_26-"&amp;TEXT(A122,"000"),"— at issue —")</f>
        <v/>
      </c>
      <c r="C122" s="6" t="inlineStr">
        <is>
          <t>no</t>
        </is>
      </c>
      <c r="D122" s="5">
        <f>IF(A122="","",MAX(E122,IF(ISNUMBER(I122),I122,0),IFERROR(IF(ISNUMBER(INDEX('iCoA Register'!$F:$F,MATCH(S122,'iCoA Register'!$P:$P,0))),(INDEX('iCoA Register'!$F:$F,MATCH(S122,'iCoA Register'!$P:$P,0)))+CHOOSE(WEEKDAY(INDEX('iCoA Register'!$F:$F,MATCH(S122,'iCoA Register'!$P:$P,0)),2),0,0,0,0,0,2,1),0),0)))</f>
        <v/>
      </c>
      <c r="E122" s="5">
        <f>IF(ISNUMBER(F122),MAX(DATE(2026,5,27),(F122+7)+CHOOSE(WEEKDAY(F122+7,2),0,0,0,0,0,2,1)),"at retest sampling")</f>
        <v/>
      </c>
      <c r="F122" s="5" t="n">
        <v>46244</v>
      </c>
      <c r="G122" s="2" t="inlineStr">
        <is>
          <t>197-20-M-26</t>
        </is>
      </c>
      <c r="H122" s="2">
        <f>IFERROR(INDEX('iCoA Register'!$B:$B,MATCH("P060062|R",'iCoA Register'!$P:$P,0)),"—")</f>
        <v/>
      </c>
      <c r="I122" s="5">
        <f>IFERROR(INDEX('iCoA Register'!$D:$D,MATCH("P060062|R",'iCoA Register'!$P:$P,0)),"")</f>
        <v/>
      </c>
      <c r="J122" s="2" t="inlineStr">
        <is>
          <t>legacy</t>
        </is>
      </c>
      <c r="K122" s="2" t="inlineStr">
        <is>
          <t>retest — Tranche 1 (sampled July 2026)</t>
        </is>
      </c>
      <c r="L122" s="3" t="inlineStr">
        <is>
          <t>PM092501</t>
        </is>
      </c>
      <c r="M122" s="2" t="inlineStr">
        <is>
          <t>P060062</t>
        </is>
      </c>
      <c r="N122" s="2" t="inlineStr">
        <is>
          <t>Permanent Market</t>
        </is>
      </c>
      <c r="O122" s="2" t="inlineStr">
        <is>
          <t>197-20-K-26, (07.08.2026) [FHM-K]</t>
        </is>
      </c>
      <c r="P122" s="6" t="inlineStr">
        <is>
          <t>—</t>
        </is>
      </c>
      <c r="Q122" s="2" t="inlineStr">
        <is>
          <t>—</t>
        </is>
      </c>
      <c r="R122" s="2" t="inlineStr">
        <is>
          <t>CoQ reissue (assigned on issue)</t>
        </is>
      </c>
      <c r="S122" s="2" t="inlineStr">
        <is>
          <t>P060062|R</t>
        </is>
      </c>
      <c r="T122" s="9" t="inlineStr">
        <is>
          <t>not yet issuable — due — retest assay, mycotoxins on file; in-house iCoA to test · issued on the first working day 7 days after the latest retest certificate, once the in-house iCoA exists</t>
        </is>
      </c>
    </row>
    <row r="123">
      <c r="A123" s="2">
        <f>IF(C123="yes",COUNT(A$1:A122)+1,"")</f>
        <v/>
      </c>
      <c r="B123" s="3">
        <f>IF(A123&lt;&gt;"","CoQ-PP_26-"&amp;TEXT(A123,"000"),"— at issue —")</f>
        <v/>
      </c>
      <c r="C123" s="6" t="inlineStr">
        <is>
          <t>no</t>
        </is>
      </c>
      <c r="D123" s="5">
        <f>IF(A123="","",MAX(E123,IF(ISNUMBER(I123),I123,0),IFERROR(IF(ISNUMBER(INDEX('iCoA Register'!$F:$F,MATCH(S123,'iCoA Register'!$P:$P,0))),(INDEX('iCoA Register'!$F:$F,MATCH(S123,'iCoA Register'!$P:$P,0)))+CHOOSE(WEEKDAY(INDEX('iCoA Register'!$F:$F,MATCH(S123,'iCoA Register'!$P:$P,0)),2),0,0,0,0,0,2,1),0),0)))</f>
        <v/>
      </c>
      <c r="E123" s="5">
        <f>IF(ISNUMBER(F123),MAX(DATE(2026,5,27),(F123+7)+CHOOSE(WEEKDAY(F123+7,2),0,0,0,0,0,2,1)),"at retest sampling")</f>
        <v/>
      </c>
      <c r="F123" s="5" t="inlineStr">
        <is>
          <t>— not yet sampled —</t>
        </is>
      </c>
      <c r="G123" s="2" t="inlineStr">
        <is>
          <t>—</t>
        </is>
      </c>
      <c r="H123" s="2">
        <f>IFERROR(INDEX('iCoA Register'!$B:$B,MATCH("P060072|R",'iCoA Register'!$P:$P,0)),"—")</f>
        <v/>
      </c>
      <c r="I123" s="5">
        <f>IFERROR(INDEX('iCoA Register'!$D:$D,MATCH("P060072|R",'iCoA Register'!$P:$P,0)),"")</f>
        <v/>
      </c>
      <c r="J123" s="2" t="inlineStr">
        <is>
          <t>legacy</t>
        </is>
      </c>
      <c r="K123" s="2" t="inlineStr">
        <is>
          <t>retest — not yet sampled</t>
        </is>
      </c>
      <c r="L123" s="3" t="inlineStr">
        <is>
          <t>CJ092501</t>
        </is>
      </c>
      <c r="M123" s="2" t="inlineStr">
        <is>
          <t>P060072</t>
        </is>
      </c>
      <c r="N123" s="2" t="inlineStr">
        <is>
          <t>Cap Junky</t>
        </is>
      </c>
      <c r="O123" s="6" t="inlineStr">
        <is>
          <t>— retest assay not yet on file —</t>
        </is>
      </c>
      <c r="P123" s="6" t="inlineStr">
        <is>
          <t>—</t>
        </is>
      </c>
      <c r="Q123" s="2" t="inlineStr">
        <is>
          <t>—</t>
        </is>
      </c>
      <c r="R123" s="2" t="inlineStr">
        <is>
          <t>CoQ reissue (assigned on issue)</t>
        </is>
      </c>
      <c r="S123" s="2" t="inlineStr">
        <is>
          <t>P060072|R</t>
        </is>
      </c>
      <c r="T123" s="9" t="inlineStr">
        <is>
          <t>not yet issuable — pending — not yet sampled · issued on the first working day 7 days after the latest retest certificate, once the in-house iCoA exists</t>
        </is>
      </c>
    </row>
    <row r="124">
      <c r="A124" s="2">
        <f>IF(C124="yes",COUNT(A$1:A123)+1,"")</f>
        <v/>
      </c>
      <c r="B124" s="3">
        <f>IF(A124&lt;&gt;"","CoQ-PP_26-"&amp;TEXT(A124,"000"),"— at issue —")</f>
        <v/>
      </c>
      <c r="C124" s="6" t="inlineStr">
        <is>
          <t>no</t>
        </is>
      </c>
      <c r="D124" s="5">
        <f>IF(A124="","",MAX(E124,IF(ISNUMBER(I124),I124,0),IFERROR(IF(ISNUMBER(INDEX('iCoA Register'!$F:$F,MATCH(S124,'iCoA Register'!$P:$P,0))),(INDEX('iCoA Register'!$F:$F,MATCH(S124,'iCoA Register'!$P:$P,0)))+CHOOSE(WEEKDAY(INDEX('iCoA Register'!$F:$F,MATCH(S124,'iCoA Register'!$P:$P,0)),2),0,0,0,0,0,2,1),0),0)))</f>
        <v/>
      </c>
      <c r="E124" s="5">
        <f>IF(ISNUMBER(F124),MAX(DATE(2026,5,27),(F124+7)+CHOOSE(WEEKDAY(F124+7,2),0,0,0,0,0,2,1)),"at retest sampling")</f>
        <v/>
      </c>
      <c r="F124" s="5" t="inlineStr">
        <is>
          <t>— not yet sampled —</t>
        </is>
      </c>
      <c r="G124" s="2" t="inlineStr">
        <is>
          <t>—</t>
        </is>
      </c>
      <c r="H124" s="2">
        <f>IFERROR(INDEX('iCoA Register'!$B:$B,MATCH("P060082|R",'iCoA Register'!$P:$P,0)),"—")</f>
        <v/>
      </c>
      <c r="I124" s="5">
        <f>IFERROR(INDEX('iCoA Register'!$D:$D,MATCH("P060082|R",'iCoA Register'!$P:$P,0)),"")</f>
        <v/>
      </c>
      <c r="J124" s="2" t="inlineStr">
        <is>
          <t>legacy</t>
        </is>
      </c>
      <c r="K124" s="2" t="inlineStr">
        <is>
          <t>retest — not yet sampled</t>
        </is>
      </c>
      <c r="L124" s="3" t="inlineStr">
        <is>
          <t>SJ0925021</t>
        </is>
      </c>
      <c r="M124" s="2" t="inlineStr">
        <is>
          <t>P060082</t>
        </is>
      </c>
      <c r="N124" s="2" t="inlineStr"/>
      <c r="O124" s="6" t="inlineStr">
        <is>
          <t>— retest assay not yet on file —</t>
        </is>
      </c>
      <c r="P124" s="6" t="inlineStr">
        <is>
          <t>—</t>
        </is>
      </c>
      <c r="Q124" s="2" t="inlineStr">
        <is>
          <t>—</t>
        </is>
      </c>
      <c r="R124" s="2" t="inlineStr">
        <is>
          <t>CoQ reissue (assigned on issue)</t>
        </is>
      </c>
      <c r="S124" s="2" t="inlineStr">
        <is>
          <t>P060082|R</t>
        </is>
      </c>
      <c r="T124" s="9" t="inlineStr">
        <is>
          <t>not yet issuable — pending — not yet sampled · issued on the first working day 7 days after the latest retest certificate, once the in-house iCoA exists</t>
        </is>
      </c>
    </row>
    <row r="125">
      <c r="A125" s="2">
        <f>IF(C125="yes",COUNT(A$1:A124)+1,"")</f>
        <v/>
      </c>
      <c r="B125" s="3">
        <f>IF(A125&lt;&gt;"","CoQ-PP_26-"&amp;TEXT(A125,"000"),"— at issue —")</f>
        <v/>
      </c>
      <c r="C125" s="6" t="inlineStr">
        <is>
          <t>no</t>
        </is>
      </c>
      <c r="D125" s="5">
        <f>IF(A125="","",MAX(E125,IF(ISNUMBER(I125),I125,0),IFERROR(IF(ISNUMBER(INDEX('iCoA Register'!$F:$F,MATCH(S125,'iCoA Register'!$P:$P,0))),(INDEX('iCoA Register'!$F:$F,MATCH(S125,'iCoA Register'!$P:$P,0)))+CHOOSE(WEEKDAY(INDEX('iCoA Register'!$F:$F,MATCH(S125,'iCoA Register'!$P:$P,0)),2),0,0,0,0,0,2,1),0),0)))</f>
        <v/>
      </c>
      <c r="E125" s="5">
        <f>IF(ISNUMBER(F125),MAX(DATE(2026,5,27),(F125+7)+CHOOSE(WEEKDAY(F125+7,2),0,0,0,0,0,2,1)),"at retest sampling")</f>
        <v/>
      </c>
      <c r="F125" s="5" t="inlineStr">
        <is>
          <t>— not yet sampled —</t>
        </is>
      </c>
      <c r="G125" s="2" t="inlineStr">
        <is>
          <t>—</t>
        </is>
      </c>
      <c r="H125" s="2">
        <f>IFERROR(INDEX('iCoA Register'!$B:$B,MATCH("P060092|R",'iCoA Register'!$P:$P,0)),"—")</f>
        <v/>
      </c>
      <c r="I125" s="5">
        <f>IFERROR(INDEX('iCoA Register'!$D:$D,MATCH("P060092|R",'iCoA Register'!$P:$P,0)),"")</f>
        <v/>
      </c>
      <c r="J125" s="2" t="inlineStr">
        <is>
          <t>legacy</t>
        </is>
      </c>
      <c r="K125" s="2" t="inlineStr">
        <is>
          <t>retest — not yet sampled</t>
        </is>
      </c>
      <c r="L125" s="3" t="inlineStr">
        <is>
          <t>GP092501</t>
        </is>
      </c>
      <c r="M125" s="2" t="inlineStr">
        <is>
          <t>P060092</t>
        </is>
      </c>
      <c r="N125" s="2" t="inlineStr">
        <is>
          <t>Grape Pie</t>
        </is>
      </c>
      <c r="O125" s="6" t="inlineStr">
        <is>
          <t>— retest assay not yet on file —</t>
        </is>
      </c>
      <c r="P125" s="6" t="inlineStr">
        <is>
          <t>—</t>
        </is>
      </c>
      <c r="Q125" s="2" t="inlineStr">
        <is>
          <t>—</t>
        </is>
      </c>
      <c r="R125" s="2" t="inlineStr">
        <is>
          <t>CoQ reissue (assigned on issue)</t>
        </is>
      </c>
      <c r="S125" s="2" t="inlineStr">
        <is>
          <t>P060092|R</t>
        </is>
      </c>
      <c r="T125" s="9" t="inlineStr">
        <is>
          <t>not yet issuable — pending — not yet sampled · issued on the first working day 7 days after the latest retest certificate, once the in-house iCoA exists</t>
        </is>
      </c>
    </row>
    <row r="126">
      <c r="A126" s="2">
        <f>IF(C126="yes",COUNT(A$1:A125)+1,"")</f>
        <v/>
      </c>
      <c r="B126" s="3">
        <f>IF(A126&lt;&gt;"","CoQ-PP_26-"&amp;TEXT(A126,"000"),"— at issue —")</f>
        <v/>
      </c>
      <c r="C126" s="6" t="inlineStr">
        <is>
          <t>no</t>
        </is>
      </c>
      <c r="D126" s="5">
        <f>IF(A126="","",MAX(E126,IF(ISNUMBER(I126),I126,0),IFERROR(IF(ISNUMBER(INDEX('iCoA Register'!$F:$F,MATCH(S126,'iCoA Register'!$P:$P,0))),(INDEX('iCoA Register'!$F:$F,MATCH(S126,'iCoA Register'!$P:$P,0)))+CHOOSE(WEEKDAY(INDEX('iCoA Register'!$F:$F,MATCH(S126,'iCoA Register'!$P:$P,0)),2),0,0,0,0,0,2,1),0),0)))</f>
        <v/>
      </c>
      <c r="E126" s="5">
        <f>IF(ISNUMBER(F126),MAX(DATE(2026,5,27),(F126+7)+CHOOSE(WEEKDAY(F126+7,2),0,0,0,0,0,2,1)),"at retest sampling")</f>
        <v/>
      </c>
      <c r="F126" s="5" t="n">
        <v>46266</v>
      </c>
      <c r="G126" s="2" t="inlineStr">
        <is>
          <t>552-1083-26</t>
        </is>
      </c>
      <c r="H126" s="2">
        <f>IFERROR(INDEX('iCoA Register'!$B:$B,MATCH("P060052|R",'iCoA Register'!$P:$P,0)),"—")</f>
        <v/>
      </c>
      <c r="I126" s="5">
        <f>IFERROR(INDEX('iCoA Register'!$D:$D,MATCH("P060052|R",'iCoA Register'!$P:$P,0)),"")</f>
        <v/>
      </c>
      <c r="J126" s="2" t="inlineStr">
        <is>
          <t>legacy</t>
        </is>
      </c>
      <c r="K126" s="2" t="inlineStr">
        <is>
          <t>retest — sampled — Tranche 2/3 (potency and mycotoxins pending)</t>
        </is>
      </c>
      <c r="L126" s="3" t="inlineStr">
        <is>
          <t>AB092501</t>
        </is>
      </c>
      <c r="M126" s="2" t="inlineStr">
        <is>
          <t>P060052</t>
        </is>
      </c>
      <c r="N126" s="2" t="inlineStr">
        <is>
          <t>Apple and Banana</t>
        </is>
      </c>
      <c r="O126" s="6" t="inlineStr">
        <is>
          <t>— retest assay not yet on file —</t>
        </is>
      </c>
      <c r="P126" s="6" t="inlineStr">
        <is>
          <t>—</t>
        </is>
      </c>
      <c r="Q126" s="2" t="inlineStr">
        <is>
          <t>—</t>
        </is>
      </c>
      <c r="R126" s="2" t="inlineStr">
        <is>
          <t>CoQ reissue (assigned on issue)</t>
        </is>
      </c>
      <c r="S126" s="2" t="inlineStr">
        <is>
          <t>P060052|R</t>
        </is>
      </c>
      <c r="T126" s="9" t="inlineStr">
        <is>
          <t>not yet issuable — sampled — microbiology on file, retest assay pending · issued on the first working day 7 days after the latest retest certificate, once the in-house iCoA exists</t>
        </is>
      </c>
    </row>
    <row r="127">
      <c r="A127" s="2">
        <f>IF(C127="yes",COUNT(A$1:A126)+1,"")</f>
        <v/>
      </c>
      <c r="B127" s="3">
        <f>IF(A127&lt;&gt;"","CoQ-PP_26-"&amp;TEXT(A127,"000"),"— at issue —")</f>
        <v/>
      </c>
      <c r="C127" s="6" t="inlineStr">
        <is>
          <t>no</t>
        </is>
      </c>
      <c r="D127" s="5">
        <f>IF(A127="","",MAX(E127,IF(ISNUMBER(I127),I127,0),IFERROR(IF(ISNUMBER(INDEX('iCoA Register'!$F:$F,MATCH(S127,'iCoA Register'!$P:$P,0))),(INDEX('iCoA Register'!$F:$F,MATCH(S127,'iCoA Register'!$P:$P,0)))+CHOOSE(WEEKDAY(INDEX('iCoA Register'!$F:$F,MATCH(S127,'iCoA Register'!$P:$P,0)),2),0,0,0,0,0,2,1),0),0)))</f>
        <v/>
      </c>
      <c r="E127" s="5">
        <f>IF(ISNUMBER(F127),MAX(DATE(2026,5,27),(F127+7)+CHOOSE(WEEKDAY(F127+7,2),0,0,0,0,0,2,1)),"at retest sampling")</f>
        <v/>
      </c>
      <c r="F127" s="5" t="n">
        <v>46265</v>
      </c>
      <c r="G127" s="2" t="inlineStr">
        <is>
          <t>549-1080-26</t>
        </is>
      </c>
      <c r="H127" s="2">
        <f>IFERROR(INDEX('iCoA Register'!$B:$B,MATCH("P060162|R",'iCoA Register'!$P:$P,0)),"—")</f>
        <v/>
      </c>
      <c r="I127" s="5">
        <f>IFERROR(INDEX('iCoA Register'!$D:$D,MATCH("P060162|R",'iCoA Register'!$P:$P,0)),"")</f>
        <v/>
      </c>
      <c r="J127" s="2" t="inlineStr">
        <is>
          <t>legacy</t>
        </is>
      </c>
      <c r="K127" s="2" t="inlineStr">
        <is>
          <t>retest — sampled — Tranche 2/3 (potency and mycotoxins pending)</t>
        </is>
      </c>
      <c r="L127" s="3" t="inlineStr">
        <is>
          <t>SJ102501</t>
        </is>
      </c>
      <c r="M127" s="2" t="inlineStr">
        <is>
          <t>P060162</t>
        </is>
      </c>
      <c r="N127" s="2" t="inlineStr">
        <is>
          <t>Sleepy Joe</t>
        </is>
      </c>
      <c r="O127" s="6" t="inlineStr">
        <is>
          <t>— retest assay not yet on file —</t>
        </is>
      </c>
      <c r="P127" s="6" t="inlineStr">
        <is>
          <t>—</t>
        </is>
      </c>
      <c r="Q127" s="2" t="inlineStr">
        <is>
          <t>—</t>
        </is>
      </c>
      <c r="R127" s="2" t="inlineStr">
        <is>
          <t>CoQ reissue (assigned on issue)</t>
        </is>
      </c>
      <c r="S127" s="2" t="inlineStr">
        <is>
          <t>P060162|R</t>
        </is>
      </c>
      <c r="T127" s="9" t="inlineStr">
        <is>
          <t>not yet issuable — sampled — microbiology on file, retest assay pending · issued on the first working day 7 days after the latest retest certificate, once the in-house iCoA exists</t>
        </is>
      </c>
    </row>
    <row r="128">
      <c r="A128" s="2">
        <f>IF(C128="yes",COUNT(A$1:A127)+1,"")</f>
        <v/>
      </c>
      <c r="B128" s="3">
        <f>IF(A128&lt;&gt;"","CoQ-PP_26-"&amp;TEXT(A128,"000"),"— at issue —")</f>
        <v/>
      </c>
      <c r="C128" s="6" t="inlineStr">
        <is>
          <t>no</t>
        </is>
      </c>
      <c r="D128" s="5">
        <f>IF(A128="","",MAX(E128,IF(ISNUMBER(I128),I128,0),IFERROR(IF(ISNUMBER(INDEX('iCoA Register'!$F:$F,MATCH(S128,'iCoA Register'!$P:$P,0))),(INDEX('iCoA Register'!$F:$F,MATCH(S128,'iCoA Register'!$P:$P,0)))+CHOOSE(WEEKDAY(INDEX('iCoA Register'!$F:$F,MATCH(S128,'iCoA Register'!$P:$P,0)),2),0,0,0,0,0,2,1),0),0)))</f>
        <v/>
      </c>
      <c r="E128" s="5">
        <f>IF(ISNUMBER(F128),MAX(DATE(2026,5,27),(F128+7)+CHOOSE(WEEKDAY(F128+7,2),0,0,0,0,0,2,1)),"at retest sampling")</f>
        <v/>
      </c>
      <c r="F128" s="5" t="inlineStr">
        <is>
          <t>— not yet sampled —</t>
        </is>
      </c>
      <c r="G128" s="2" t="inlineStr">
        <is>
          <t>—</t>
        </is>
      </c>
      <c r="H128" s="2">
        <f>IFERROR(INDEX('iCoA Register'!$B:$B,MATCH("P060192|R",'iCoA Register'!$P:$P,0)),"—")</f>
        <v/>
      </c>
      <c r="I128" s="5">
        <f>IFERROR(INDEX('iCoA Register'!$D:$D,MATCH("P060192|R",'iCoA Register'!$P:$P,0)),"")</f>
        <v/>
      </c>
      <c r="J128" s="2" t="inlineStr">
        <is>
          <t>legacy</t>
        </is>
      </c>
      <c r="K128" s="2" t="inlineStr">
        <is>
          <t>retest — not yet sampled</t>
        </is>
      </c>
      <c r="L128" s="3" t="inlineStr">
        <is>
          <t>SJ112501</t>
        </is>
      </c>
      <c r="M128" s="2" t="inlineStr">
        <is>
          <t>P060192</t>
        </is>
      </c>
      <c r="N128" s="2" t="inlineStr">
        <is>
          <t>Sleepy Joy</t>
        </is>
      </c>
      <c r="O128" s="6" t="inlineStr">
        <is>
          <t>— retest assay not yet on file —</t>
        </is>
      </c>
      <c r="P128" s="6" t="inlineStr">
        <is>
          <t>—</t>
        </is>
      </c>
      <c r="Q128" s="2" t="inlineStr">
        <is>
          <t>—</t>
        </is>
      </c>
      <c r="R128" s="2" t="inlineStr">
        <is>
          <t>CoQ reissue (assigned on issue)</t>
        </is>
      </c>
      <c r="S128" s="2" t="inlineStr">
        <is>
          <t>P060192|R</t>
        </is>
      </c>
      <c r="T128" s="9" t="inlineStr">
        <is>
          <t>not yet issuable — pending — not yet sampled · issued on the first working day 7 days after the latest retest certificate, once the in-house iCoA exists</t>
        </is>
      </c>
    </row>
    <row r="129">
      <c r="A129" s="2">
        <f>IF(C129="yes",COUNT(A$1:A128)+1,"")</f>
        <v/>
      </c>
      <c r="B129" s="3">
        <f>IF(A129&lt;&gt;"","CoQ-PP_26-"&amp;TEXT(A129,"000"),"— at issue —")</f>
        <v/>
      </c>
      <c r="C129" s="6" t="inlineStr">
        <is>
          <t>no</t>
        </is>
      </c>
      <c r="D129" s="5">
        <f>IF(A129="","",MAX(E129,IF(ISNUMBER(I129),I129,0),IFERROR(IF(ISNUMBER(INDEX('iCoA Register'!$F:$F,MATCH(S129,'iCoA Register'!$P:$P,0))),(INDEX('iCoA Register'!$F:$F,MATCH(S129,'iCoA Register'!$P:$P,0)))+CHOOSE(WEEKDAY(INDEX('iCoA Register'!$F:$F,MATCH(S129,'iCoA Register'!$P:$P,0)),2),0,0,0,0,0,2,1),0),0)))</f>
        <v/>
      </c>
      <c r="E129" s="5">
        <f>IF(ISNUMBER(F129),MAX(DATE(2026,5,27),(F129+7)+CHOOSE(WEEKDAY(F129+7,2),0,0,0,0,0,2,1)),"at retest sampling")</f>
        <v/>
      </c>
      <c r="F129" s="5" t="n">
        <v>46244</v>
      </c>
      <c r="G129" s="2" t="inlineStr">
        <is>
          <t>197-16-M-26</t>
        </is>
      </c>
      <c r="H129" s="2">
        <f>IFERROR(INDEX('iCoA Register'!$B:$B,MATCH("P060152|R",'iCoA Register'!$P:$P,0)),"—")</f>
        <v/>
      </c>
      <c r="I129" s="5">
        <f>IFERROR(INDEX('iCoA Register'!$D:$D,MATCH("P060152|R",'iCoA Register'!$P:$P,0)),"")</f>
        <v/>
      </c>
      <c r="J129" s="2" t="inlineStr">
        <is>
          <t>legacy</t>
        </is>
      </c>
      <c r="K129" s="2" t="inlineStr">
        <is>
          <t>retest — Tranche 1 (sampled July 2026)</t>
        </is>
      </c>
      <c r="L129" s="3" t="inlineStr">
        <is>
          <t>J31102501</t>
        </is>
      </c>
      <c r="M129" s="2" t="inlineStr">
        <is>
          <t>P060152</t>
        </is>
      </c>
      <c r="N129" s="2" t="inlineStr">
        <is>
          <t>Jokerz 31</t>
        </is>
      </c>
      <c r="O129" s="2" t="inlineStr">
        <is>
          <t>197-16-K-26, (07.08.2026) [FHM-K]</t>
        </is>
      </c>
      <c r="P129" s="6" t="inlineStr">
        <is>
          <t>—</t>
        </is>
      </c>
      <c r="Q129" s="2" t="inlineStr">
        <is>
          <t>—</t>
        </is>
      </c>
      <c r="R129" s="2" t="inlineStr">
        <is>
          <t>CoQ reissue (assigned on issue)</t>
        </is>
      </c>
      <c r="S129" s="2" t="inlineStr">
        <is>
          <t>P060152|R</t>
        </is>
      </c>
      <c r="T129" s="9" t="inlineStr">
        <is>
          <t>not yet issuable — due — retest assay, mycotoxins on file; in-house iCoA to test · issued on the first working day 7 days after the latest retest certificate, once the in-house iCoA exists</t>
        </is>
      </c>
    </row>
    <row r="130">
      <c r="A130" s="2">
        <f>IF(C130="yes",COUNT(A$1:A129)+1,"")</f>
        <v/>
      </c>
      <c r="B130" s="3">
        <f>IF(A130&lt;&gt;"","CoQ-PP_26-"&amp;TEXT(A130,"000"),"— at issue —")</f>
        <v/>
      </c>
      <c r="C130" s="6" t="inlineStr">
        <is>
          <t>no</t>
        </is>
      </c>
      <c r="D130" s="5">
        <f>IF(A130="","",MAX(E130,IF(ISNUMBER(I130),I130,0),IFERROR(IF(ISNUMBER(INDEX('iCoA Register'!$F:$F,MATCH(S130,'iCoA Register'!$P:$P,0))),(INDEX('iCoA Register'!$F:$F,MATCH(S130,'iCoA Register'!$P:$P,0)))+CHOOSE(WEEKDAY(INDEX('iCoA Register'!$F:$F,MATCH(S130,'iCoA Register'!$P:$P,0)),2),0,0,0,0,0,2,1),0),0)))</f>
        <v/>
      </c>
      <c r="E130" s="5">
        <f>IF(ISNUMBER(F130),MAX(DATE(2026,5,27),(F130+7)+CHOOSE(WEEKDAY(F130+7,2),0,0,0,0,0,2,1)),"at retest sampling")</f>
        <v/>
      </c>
      <c r="F130" s="5" t="n">
        <v>46265</v>
      </c>
      <c r="G130" s="2" t="inlineStr">
        <is>
          <t>546-1077-26</t>
        </is>
      </c>
      <c r="H130" s="2">
        <f>IFERROR(INDEX('iCoA Register'!$B:$B,MATCH("P060222|R",'iCoA Register'!$P:$P,0)),"—")</f>
        <v/>
      </c>
      <c r="I130" s="5">
        <f>IFERROR(INDEX('iCoA Register'!$D:$D,MATCH("P060222|R",'iCoA Register'!$P:$P,0)),"")</f>
        <v/>
      </c>
      <c r="J130" s="2" t="inlineStr">
        <is>
          <t>legacy</t>
        </is>
      </c>
      <c r="K130" s="2" t="inlineStr">
        <is>
          <t>retest — sampled — Tranche 2/3 (potency and mycotoxins pending)</t>
        </is>
      </c>
      <c r="L130" s="3" t="inlineStr">
        <is>
          <t>OPM112501</t>
        </is>
      </c>
      <c r="M130" s="2" t="inlineStr">
        <is>
          <t>P060222</t>
        </is>
      </c>
      <c r="N130" s="2" t="inlineStr">
        <is>
          <t>Orange Punch Mimosa</t>
        </is>
      </c>
      <c r="O130" s="6" t="inlineStr">
        <is>
          <t>— retest assay not yet on file —</t>
        </is>
      </c>
      <c r="P130" s="6" t="inlineStr">
        <is>
          <t>—</t>
        </is>
      </c>
      <c r="Q130" s="2" t="inlineStr">
        <is>
          <t>—</t>
        </is>
      </c>
      <c r="R130" s="2" t="inlineStr">
        <is>
          <t>CoQ reissue (assigned on issue)</t>
        </is>
      </c>
      <c r="S130" s="2" t="inlineStr">
        <is>
          <t>P060222|R</t>
        </is>
      </c>
      <c r="T130" s="9" t="inlineStr">
        <is>
          <t>not yet issuable — sampled — microbiology on file, retest assay pending · issued on the first working day 7 days after the latest retest certificate, once the in-house iCoA exists</t>
        </is>
      </c>
    </row>
    <row r="131">
      <c r="A131" s="2">
        <f>IF(C131="yes",COUNT(A$1:A130)+1,"")</f>
        <v/>
      </c>
      <c r="B131" s="3">
        <f>IF(A131&lt;&gt;"","CoQ-PP_26-"&amp;TEXT(A131,"000"),"— at issue —")</f>
        <v/>
      </c>
      <c r="C131" s="6" t="inlineStr">
        <is>
          <t>no</t>
        </is>
      </c>
      <c r="D131" s="5">
        <f>IF(A131="","",MAX(E131,IF(ISNUMBER(I131),I131,0),IFERROR(IF(ISNUMBER(INDEX('iCoA Register'!$F:$F,MATCH(S131,'iCoA Register'!$P:$P,0))),(INDEX('iCoA Register'!$F:$F,MATCH(S131,'iCoA Register'!$P:$P,0)))+CHOOSE(WEEKDAY(INDEX('iCoA Register'!$F:$F,MATCH(S131,'iCoA Register'!$P:$P,0)),2),0,0,0,0,0,2,1),0),0)))</f>
        <v/>
      </c>
      <c r="E131" s="5">
        <f>IF(ISNUMBER(F131),MAX(DATE(2026,5,27),(F131+7)+CHOOSE(WEEKDAY(F131+7,2),0,0,0,0,0,2,1)),"at retest sampling")</f>
        <v/>
      </c>
      <c r="F131" s="5" t="inlineStr">
        <is>
          <t>— not yet sampled —</t>
        </is>
      </c>
      <c r="G131" s="2" t="inlineStr">
        <is>
          <t>—</t>
        </is>
      </c>
      <c r="H131" s="2">
        <f>IFERROR(INDEX('iCoA Register'!$B:$B,MATCH("P060172|R",'iCoA Register'!$P:$P,0)),"—")</f>
        <v/>
      </c>
      <c r="I131" s="5">
        <f>IFERROR(INDEX('iCoA Register'!$D:$D,MATCH("P060172|R",'iCoA Register'!$P:$P,0)),"")</f>
        <v/>
      </c>
      <c r="J131" s="2" t="inlineStr">
        <is>
          <t>legacy</t>
        </is>
      </c>
      <c r="K131" s="2" t="inlineStr">
        <is>
          <t>retest — not yet sampled</t>
        </is>
      </c>
      <c r="L131" s="3" t="inlineStr">
        <is>
          <t>KC102501</t>
        </is>
      </c>
      <c r="M131" s="2" t="inlineStr">
        <is>
          <t>P060172</t>
        </is>
      </c>
      <c r="N131" s="2" t="inlineStr">
        <is>
          <t>Kush Crasher</t>
        </is>
      </c>
      <c r="O131" s="6" t="inlineStr">
        <is>
          <t>— retest assay not yet on file —</t>
        </is>
      </c>
      <c r="P131" s="6" t="inlineStr">
        <is>
          <t>—</t>
        </is>
      </c>
      <c r="Q131" s="2" t="inlineStr">
        <is>
          <t>—</t>
        </is>
      </c>
      <c r="R131" s="2" t="inlineStr">
        <is>
          <t>CoQ reissue (assigned on issue)</t>
        </is>
      </c>
      <c r="S131" s="2" t="inlineStr">
        <is>
          <t>P060172|R</t>
        </is>
      </c>
      <c r="T131" s="9" t="inlineStr">
        <is>
          <t>not yet issuable — pending — not yet sampled · issued on the first working day 7 days after the latest retest certificate, once the in-house iCoA exists</t>
        </is>
      </c>
    </row>
    <row r="132">
      <c r="A132" s="2">
        <f>IF(C132="yes",COUNT(A$1:A131)+1,"")</f>
        <v/>
      </c>
      <c r="B132" s="3">
        <f>IF(A132&lt;&gt;"","CoQ-PP_26-"&amp;TEXT(A132,"000"),"— at issue —")</f>
        <v/>
      </c>
      <c r="C132" s="6" t="inlineStr">
        <is>
          <t>no</t>
        </is>
      </c>
      <c r="D132" s="5">
        <f>IF(A132="","",MAX(E132,IF(ISNUMBER(I132),I132,0),IFERROR(IF(ISNUMBER(INDEX('iCoA Register'!$F:$F,MATCH(S132,'iCoA Register'!$P:$P,0))),(INDEX('iCoA Register'!$F:$F,MATCH(S132,'iCoA Register'!$P:$P,0)))+CHOOSE(WEEKDAY(INDEX('iCoA Register'!$F:$F,MATCH(S132,'iCoA Register'!$P:$P,0)),2),0,0,0,0,0,2,1),0),0)))</f>
        <v/>
      </c>
      <c r="E132" s="5">
        <f>IF(ISNUMBER(F132),MAX(DATE(2026,5,27),(F132+7)+CHOOSE(WEEKDAY(F132+7,2),0,0,0,0,0,2,1)),"at retest sampling")</f>
        <v/>
      </c>
      <c r="F132" s="5" t="n">
        <v>46266</v>
      </c>
      <c r="G132" s="2" t="inlineStr">
        <is>
          <t>550-1081-26</t>
        </is>
      </c>
      <c r="H132" s="2">
        <f>IFERROR(INDEX('iCoA Register'!$B:$B,MATCH("P060182|R",'iCoA Register'!$P:$P,0)),"—")</f>
        <v/>
      </c>
      <c r="I132" s="5">
        <f>IFERROR(INDEX('iCoA Register'!$D:$D,MATCH("P060182|R",'iCoA Register'!$P:$P,0)),"")</f>
        <v/>
      </c>
      <c r="J132" s="2" t="inlineStr">
        <is>
          <t>legacy</t>
        </is>
      </c>
      <c r="K132" s="2" t="inlineStr">
        <is>
          <t>retest — sampled — Tranche 2/3 (potency and mycotoxins pending)</t>
        </is>
      </c>
      <c r="L132" s="3" t="inlineStr">
        <is>
          <t>GRC102501</t>
        </is>
      </c>
      <c r="M132" s="2" t="inlineStr">
        <is>
          <t>P060182</t>
        </is>
      </c>
      <c r="N132" s="2" t="inlineStr">
        <is>
          <t>Graps &amp; Creme</t>
        </is>
      </c>
      <c r="O132" s="6" t="inlineStr">
        <is>
          <t>— retest assay not yet on file —</t>
        </is>
      </c>
      <c r="P132" s="6" t="inlineStr">
        <is>
          <t>—</t>
        </is>
      </c>
      <c r="Q132" s="2" t="inlineStr">
        <is>
          <t>—</t>
        </is>
      </c>
      <c r="R132" s="2" t="inlineStr">
        <is>
          <t>CoQ reissue (assigned on issue)</t>
        </is>
      </c>
      <c r="S132" s="2" t="inlineStr">
        <is>
          <t>P060182|R</t>
        </is>
      </c>
      <c r="T132" s="9" t="inlineStr">
        <is>
          <t>not yet issuable — sampled — microbiology on file, retest assay pending · issued on the first working day 7 days after the latest retest certificate, once the in-house iCoA exists</t>
        </is>
      </c>
    </row>
    <row r="133">
      <c r="A133" s="2">
        <f>IF(C133="yes",COUNT(A$1:A132)+1,"")</f>
        <v/>
      </c>
      <c r="B133" s="3">
        <f>IF(A133&lt;&gt;"","CoQ-PP_26-"&amp;TEXT(A133,"000"),"— at issue —")</f>
        <v/>
      </c>
      <c r="C133" s="6" t="inlineStr">
        <is>
          <t>no</t>
        </is>
      </c>
      <c r="D133" s="5">
        <f>IF(A133="","",MAX(E133,IF(ISNUMBER(I133),I133,0),IFERROR(IF(ISNUMBER(INDEX('iCoA Register'!$F:$F,MATCH(S133,'iCoA Register'!$P:$P,0))),(INDEX('iCoA Register'!$F:$F,MATCH(S133,'iCoA Register'!$P:$P,0)))+CHOOSE(WEEKDAY(INDEX('iCoA Register'!$F:$F,MATCH(S133,'iCoA Register'!$P:$P,0)),2),0,0,0,0,0,2,1),0),0)))</f>
        <v/>
      </c>
      <c r="E133" s="5">
        <f>IF(ISNUMBER(F133),MAX(DATE(2026,5,27),(F133+7)+CHOOSE(WEEKDAY(F133+7,2),0,0,0,0,0,2,1)),"at retest sampling")</f>
        <v/>
      </c>
      <c r="F133" s="5" t="n">
        <v>46265</v>
      </c>
      <c r="G133" s="2" t="inlineStr">
        <is>
          <t>547-1078-26</t>
        </is>
      </c>
      <c r="H133" s="2">
        <f>IFERROR(INDEX('iCoA Register'!$B:$B,MATCH("P060202|R",'iCoA Register'!$P:$P,0)),"—")</f>
        <v/>
      </c>
      <c r="I133" s="5">
        <f>IFERROR(INDEX('iCoA Register'!$D:$D,MATCH("P060202|R",'iCoA Register'!$P:$P,0)),"")</f>
        <v/>
      </c>
      <c r="J133" s="2" t="inlineStr">
        <is>
          <t>legacy</t>
        </is>
      </c>
      <c r="K133" s="2" t="inlineStr">
        <is>
          <t>retest — sampled — Tranche 2/3 (potency and mycotoxins pending)</t>
        </is>
      </c>
      <c r="L133" s="3" t="inlineStr">
        <is>
          <t>J31112501</t>
        </is>
      </c>
      <c r="M133" s="2" t="inlineStr">
        <is>
          <t>P060202</t>
        </is>
      </c>
      <c r="N133" s="2" t="inlineStr">
        <is>
          <t>Jokerz 31</t>
        </is>
      </c>
      <c r="O133" s="6" t="inlineStr">
        <is>
          <t>— retest assay not yet on file —</t>
        </is>
      </c>
      <c r="P133" s="6" t="inlineStr">
        <is>
          <t>—</t>
        </is>
      </c>
      <c r="Q133" s="2" t="inlineStr">
        <is>
          <t>—</t>
        </is>
      </c>
      <c r="R133" s="2" t="inlineStr">
        <is>
          <t>CoQ reissue (assigned on issue)</t>
        </is>
      </c>
      <c r="S133" s="2" t="inlineStr">
        <is>
          <t>P060202|R</t>
        </is>
      </c>
      <c r="T133" s="9" t="inlineStr">
        <is>
          <t>not yet issuable — sampled — microbiology on file, retest assay pending · issued on the first working day 7 days after the latest retest certificate, once the in-house iCoA exists</t>
        </is>
      </c>
    </row>
    <row r="134">
      <c r="A134" s="2">
        <f>IF(C134="yes",COUNT(A$1:A133)+1,"")</f>
        <v/>
      </c>
      <c r="B134" s="3">
        <f>IF(A134&lt;&gt;"","CoQ-PP_26-"&amp;TEXT(A134,"000"),"— at issue —")</f>
        <v/>
      </c>
      <c r="C134" s="6" t="inlineStr">
        <is>
          <t>no</t>
        </is>
      </c>
      <c r="D134" s="5">
        <f>IF(A134="","",MAX(E134,IF(ISNUMBER(I134),I134,0),IFERROR(IF(ISNUMBER(INDEX('iCoA Register'!$F:$F,MATCH(S134,'iCoA Register'!$P:$P,0))),(INDEX('iCoA Register'!$F:$F,MATCH(S134,'iCoA Register'!$P:$P,0)))+CHOOSE(WEEKDAY(INDEX('iCoA Register'!$F:$F,MATCH(S134,'iCoA Register'!$P:$P,0)),2),0,0,0,0,0,2,1),0),0)))</f>
        <v/>
      </c>
      <c r="E134" s="5">
        <f>IF(ISNUMBER(F134),MAX(DATE(2026,5,27),(F134+7)+CHOOSE(WEEKDAY(F134+7,2),0,0,0,0,0,2,1)),"at retest sampling")</f>
        <v/>
      </c>
      <c r="F134" s="5" t="n">
        <v>46244</v>
      </c>
      <c r="G134" s="2" t="inlineStr">
        <is>
          <t>197-15-M-26</t>
        </is>
      </c>
      <c r="H134" s="2">
        <f>IFERROR(INDEX('iCoA Register'!$B:$B,MATCH("P060212|R",'iCoA Register'!$P:$P,0)),"—")</f>
        <v/>
      </c>
      <c r="I134" s="5">
        <f>IFERROR(INDEX('iCoA Register'!$D:$D,MATCH("P060212|R",'iCoA Register'!$P:$P,0)),"")</f>
        <v/>
      </c>
      <c r="J134" s="2" t="inlineStr">
        <is>
          <t>legacy</t>
        </is>
      </c>
      <c r="K134" s="2" t="inlineStr">
        <is>
          <t>retest — Tranche 1 (sampled July 2026)</t>
        </is>
      </c>
      <c r="L134" s="3" t="inlineStr">
        <is>
          <t>JD112501</t>
        </is>
      </c>
      <c r="M134" s="2" t="inlineStr">
        <is>
          <t>P060212</t>
        </is>
      </c>
      <c r="N134" s="2" t="inlineStr">
        <is>
          <t>Jelly Donutz</t>
        </is>
      </c>
      <c r="O134" s="2" t="inlineStr">
        <is>
          <t>197-15-K-26, (07.08.2026) [FHM-K]</t>
        </is>
      </c>
      <c r="P134" s="6" t="inlineStr">
        <is>
          <t>—</t>
        </is>
      </c>
      <c r="Q134" s="2" t="inlineStr">
        <is>
          <t>—</t>
        </is>
      </c>
      <c r="R134" s="2" t="inlineStr">
        <is>
          <t>CoQ reissue (assigned on issue)</t>
        </is>
      </c>
      <c r="S134" s="2" t="inlineStr">
        <is>
          <t>P060212|R</t>
        </is>
      </c>
      <c r="T134" s="9" t="inlineStr">
        <is>
          <t>not yet issuable — due — retest assay, mycotoxins on file; in-house iCoA to test · issued on the first working day 7 days after the latest retest certificate, once the in-house iCoA exists</t>
        </is>
      </c>
    </row>
    <row r="135">
      <c r="A135" s="2">
        <f>IF(C135="yes",COUNT(A$1:A134)+1,"")</f>
        <v/>
      </c>
      <c r="B135" s="3">
        <f>IF(A135&lt;&gt;"","CoQ-PP_26-"&amp;TEXT(A135,"000"),"— at issue —")</f>
        <v/>
      </c>
      <c r="C135" s="6" t="inlineStr">
        <is>
          <t>no</t>
        </is>
      </c>
      <c r="D135" s="5">
        <f>IF(A135="","",MAX(E135,IF(ISNUMBER(I135),I135,0),IFERROR(IF(ISNUMBER(INDEX('iCoA Register'!$F:$F,MATCH(S135,'iCoA Register'!$P:$P,0))),(INDEX('iCoA Register'!$F:$F,MATCH(S135,'iCoA Register'!$P:$P,0)))+CHOOSE(WEEKDAY(INDEX('iCoA Register'!$F:$F,MATCH(S135,'iCoA Register'!$P:$P,0)),2),0,0,0,0,0,2,1),0),0)))</f>
        <v/>
      </c>
      <c r="E135" s="5">
        <f>IF(ISNUMBER(F135),MAX(DATE(2026,5,27),(F135+7)+CHOOSE(WEEKDAY(F135+7,2),0,0,0,0,0,2,1)),"at retest sampling")</f>
        <v/>
      </c>
      <c r="F135" s="5" t="inlineStr">
        <is>
          <t>— not yet sampled —</t>
        </is>
      </c>
      <c r="G135" s="2" t="inlineStr">
        <is>
          <t>—</t>
        </is>
      </c>
      <c r="H135" s="2">
        <f>IFERROR(INDEX('iCoA Register'!$B:$B,MATCH("JD112501|R",'iCoA Register'!$P:$P,0)),"—")</f>
        <v/>
      </c>
      <c r="I135" s="5">
        <f>IFERROR(INDEX('iCoA Register'!$D:$D,MATCH("JD112501|R",'iCoA Register'!$P:$P,0)),"")</f>
        <v/>
      </c>
      <c r="J135" s="2" t="inlineStr">
        <is>
          <t>legacy</t>
        </is>
      </c>
      <c r="K135" s="2" t="inlineStr">
        <is>
          <t>retest — not yet sampled</t>
        </is>
      </c>
      <c r="L135" s="3" t="inlineStr">
        <is>
          <t>JD112501＊</t>
        </is>
      </c>
      <c r="M135" s="2" t="inlineStr">
        <is>
          <t>P060212</t>
        </is>
      </c>
      <c r="N135" s="2" t="inlineStr">
        <is>
          <t>Jelly Donutz</t>
        </is>
      </c>
      <c r="O135" s="6" t="inlineStr">
        <is>
          <t>— retest assay not yet on file —</t>
        </is>
      </c>
      <c r="P135" s="6" t="inlineStr">
        <is>
          <t>—</t>
        </is>
      </c>
      <c r="Q135" s="2" t="inlineStr">
        <is>
          <t>—</t>
        </is>
      </c>
      <c r="R135" s="2" t="inlineStr">
        <is>
          <t>CoQ reissue (assigned on issue)</t>
        </is>
      </c>
      <c r="S135" s="2" t="inlineStr">
        <is>
          <t>JD112501|R</t>
        </is>
      </c>
      <c r="T135" s="9" t="inlineStr">
        <is>
          <t>not yet issuable — pending — not yet sampled · issued on the first working day 7 days after the latest retest certificate, once the in-house iCoA exists</t>
        </is>
      </c>
    </row>
    <row r="136">
      <c r="A136" s="2">
        <f>IF(C136="yes",COUNT(A$1:A135)+1,"")</f>
        <v/>
      </c>
      <c r="B136" s="3">
        <f>IF(A136&lt;&gt;"","CoQ-PP_26-"&amp;TEXT(A136,"000"),"— at issue —")</f>
        <v/>
      </c>
      <c r="C136" s="6" t="inlineStr">
        <is>
          <t>no</t>
        </is>
      </c>
      <c r="D136" s="5">
        <f>IF(A136="","",MAX(E136,IF(ISNUMBER(I136),I136,0),IFERROR(IF(ISNUMBER(INDEX('iCoA Register'!$F:$F,MATCH(S136,'iCoA Register'!$P:$P,0))),(INDEX('iCoA Register'!$F:$F,MATCH(S136,'iCoA Register'!$P:$P,0)))+CHOOSE(WEEKDAY(INDEX('iCoA Register'!$F:$F,MATCH(S136,'iCoA Register'!$P:$P,0)),2),0,0,0,0,0,2,1),0),0)))</f>
        <v/>
      </c>
      <c r="E136" s="5">
        <f>IF(ISNUMBER(F136),MAX(DATE(2026,5,27),(F136+7)+CHOOSE(WEEKDAY(F136+7,2),0,0,0,0,0,2,1)),"at retest sampling")</f>
        <v/>
      </c>
      <c r="F136" s="5" t="n">
        <v>46135</v>
      </c>
      <c r="G136" s="2" t="inlineStr">
        <is>
          <t>1628-2026</t>
        </is>
      </c>
      <c r="H136" s="2">
        <f>IFERROR(INDEX('iCoA Register'!$B:$B,MATCH("P060262|R",'iCoA Register'!$P:$P,0)),"—")</f>
        <v/>
      </c>
      <c r="I136" s="5">
        <f>IFERROR(INDEX('iCoA Register'!$D:$D,MATCH("P060262|R",'iCoA Register'!$P:$P,0)),"")</f>
        <v/>
      </c>
      <c r="J136" s="2" t="inlineStr">
        <is>
          <t>post-SOP</t>
        </is>
      </c>
      <c r="K136" s="2" t="inlineStr">
        <is>
          <t>retest — re-analysed</t>
        </is>
      </c>
      <c r="L136" s="3" t="inlineStr">
        <is>
          <t>J31122501</t>
        </is>
      </c>
      <c r="M136" s="2" t="inlineStr">
        <is>
          <t>P060262</t>
        </is>
      </c>
      <c r="N136" s="2" t="inlineStr">
        <is>
          <t>Jokerz 31</t>
        </is>
      </c>
      <c r="O136" s="2" t="inlineStr">
        <is>
          <t>100-3-K-26, (09.04.2026) [FHM-K]</t>
        </is>
      </c>
      <c r="P136" s="6" t="inlineStr">
        <is>
          <t>—</t>
        </is>
      </c>
      <c r="Q136" s="2" t="inlineStr">
        <is>
          <t>—</t>
        </is>
      </c>
      <c r="R136" s="2" t="inlineStr">
        <is>
          <t>CoQ reissue (assigned on issue)</t>
        </is>
      </c>
      <c r="S136" s="2" t="inlineStr">
        <is>
          <t>P060262|R</t>
        </is>
      </c>
      <c r="T136" s="9" t="inlineStr">
        <is>
          <t>not yet issuable — due — retest assay, mycotoxins and microbiology on file; in-house iCoA to test · issued on the first working day 7 days after the latest retest certificate, once the in-house iCoA exists</t>
        </is>
      </c>
    </row>
    <row r="137">
      <c r="A137" s="2">
        <f>IF(C137="yes",COUNT(A$1:A136)+1,"")</f>
        <v/>
      </c>
      <c r="B137" s="3">
        <f>IF(A137&lt;&gt;"","CoQ-PP_26-"&amp;TEXT(A137,"000"),"— at issue —")</f>
        <v/>
      </c>
      <c r="C137" s="6" t="inlineStr">
        <is>
          <t>no</t>
        </is>
      </c>
      <c r="D137" s="5">
        <f>IF(A137="","",MAX(E137,IF(ISNUMBER(I137),I137,0),IFERROR(IF(ISNUMBER(INDEX('iCoA Register'!$F:$F,MATCH(S137,'iCoA Register'!$P:$P,0))),(INDEX('iCoA Register'!$F:$F,MATCH(S137,'iCoA Register'!$P:$P,0)))+CHOOSE(WEEKDAY(INDEX('iCoA Register'!$F:$F,MATCH(S137,'iCoA Register'!$P:$P,0)),2),0,0,0,0,0,2,1),0),0)))</f>
        <v/>
      </c>
      <c r="E137" s="5">
        <f>IF(ISNUMBER(F137),MAX(DATE(2026,5,27),(F137+7)+CHOOSE(WEEKDAY(F137+7,2),0,0,0,0,0,2,1)),"at retest sampling")</f>
        <v/>
      </c>
      <c r="F137" s="5" t="inlineStr">
        <is>
          <t>— not yet sampled —</t>
        </is>
      </c>
      <c r="G137" s="2" t="inlineStr">
        <is>
          <t>—</t>
        </is>
      </c>
      <c r="H137" s="2">
        <f>IFERROR(INDEX('iCoA Register'!$B:$B,MATCH("P060232|R",'iCoA Register'!$P:$P,0)),"—")</f>
        <v/>
      </c>
      <c r="I137" s="5">
        <f>IFERROR(INDEX('iCoA Register'!$D:$D,MATCH("P060232|R",'iCoA Register'!$P:$P,0)),"")</f>
        <v/>
      </c>
      <c r="J137" s="2" t="inlineStr">
        <is>
          <t>legacy</t>
        </is>
      </c>
      <c r="K137" s="2" t="inlineStr">
        <is>
          <t>retest — not yet sampled</t>
        </is>
      </c>
      <c r="L137" s="3" t="inlineStr">
        <is>
          <t>PM112501</t>
        </is>
      </c>
      <c r="M137" s="2" t="inlineStr">
        <is>
          <t>P060232</t>
        </is>
      </c>
      <c r="N137" s="2" t="inlineStr">
        <is>
          <t>Permanent Market</t>
        </is>
      </c>
      <c r="O137" s="6" t="inlineStr">
        <is>
          <t>— retest assay not yet on file —</t>
        </is>
      </c>
      <c r="P137" s="6" t="inlineStr">
        <is>
          <t>—</t>
        </is>
      </c>
      <c r="Q137" s="2" t="inlineStr">
        <is>
          <t>—</t>
        </is>
      </c>
      <c r="R137" s="2" t="inlineStr">
        <is>
          <t>CoQ reissue (assigned on issue)</t>
        </is>
      </c>
      <c r="S137" s="2" t="inlineStr">
        <is>
          <t>P060232|R</t>
        </is>
      </c>
      <c r="T137" s="9" t="inlineStr">
        <is>
          <t>not yet issuable — pending — not yet sampled · issued on the first working day 7 days after the latest retest certificate, once the in-house iCoA exists</t>
        </is>
      </c>
    </row>
    <row r="138">
      <c r="A138" s="2">
        <f>IF(C138="yes",COUNT(A$1:A137)+1,"")</f>
        <v/>
      </c>
      <c r="B138" s="3">
        <f>IF(A138&lt;&gt;"","CoQ-PP_26-"&amp;TEXT(A138,"000"),"— at issue —")</f>
        <v/>
      </c>
      <c r="C138" s="6" t="inlineStr">
        <is>
          <t>no</t>
        </is>
      </c>
      <c r="D138" s="5">
        <f>IF(A138="","",MAX(E138,IF(ISNUMBER(I138),I138,0),IFERROR(IF(ISNUMBER(INDEX('iCoA Register'!$F:$F,MATCH(S138,'iCoA Register'!$P:$P,0))),(INDEX('iCoA Register'!$F:$F,MATCH(S138,'iCoA Register'!$P:$P,0)))+CHOOSE(WEEKDAY(INDEX('iCoA Register'!$F:$F,MATCH(S138,'iCoA Register'!$P:$P,0)),2),0,0,0,0,0,2,1),0),0)))</f>
        <v/>
      </c>
      <c r="E138" s="5">
        <f>IF(ISNUMBER(F138),MAX(DATE(2026,5,27),(F138+7)+CHOOSE(WEEKDAY(F138+7,2),0,0,0,0,0,2,1)),"at retest sampling")</f>
        <v/>
      </c>
      <c r="F138" s="5" t="n">
        <v>46244</v>
      </c>
      <c r="G138" s="2" t="inlineStr">
        <is>
          <t>197-19-M-26</t>
        </is>
      </c>
      <c r="H138" s="2">
        <f>IFERROR(INDEX('iCoA Register'!$B:$B,MATCH("P060242|R",'iCoA Register'!$P:$P,0)),"—")</f>
        <v/>
      </c>
      <c r="I138" s="5">
        <f>IFERROR(INDEX('iCoA Register'!$D:$D,MATCH("P060242|R",'iCoA Register'!$P:$P,0)),"")</f>
        <v/>
      </c>
      <c r="J138" s="2" t="inlineStr">
        <is>
          <t>legacy</t>
        </is>
      </c>
      <c r="K138" s="2" t="inlineStr">
        <is>
          <t>retest — Tranche 1 (sampled July 2026)</t>
        </is>
      </c>
      <c r="L138" s="3" t="inlineStr">
        <is>
          <t>OPM122501</t>
        </is>
      </c>
      <c r="M138" s="2" t="inlineStr">
        <is>
          <t>P060242</t>
        </is>
      </c>
      <c r="N138" s="2" t="inlineStr">
        <is>
          <t>Orange Punch Mimosa</t>
        </is>
      </c>
      <c r="O138" s="2" t="inlineStr">
        <is>
          <t>197-19-K-26, (07.08.2026) [FHM-K]</t>
        </is>
      </c>
      <c r="P138" s="6" t="inlineStr">
        <is>
          <t>—</t>
        </is>
      </c>
      <c r="Q138" s="2" t="inlineStr">
        <is>
          <t>—</t>
        </is>
      </c>
      <c r="R138" s="2" t="inlineStr">
        <is>
          <t>CoQ reissue (assigned on issue)</t>
        </is>
      </c>
      <c r="S138" s="2" t="inlineStr">
        <is>
          <t>P060242|R</t>
        </is>
      </c>
      <c r="T138" s="9" t="inlineStr">
        <is>
          <t>not yet issuable — due — retest assay, mycotoxins on file; in-house iCoA to test · issued on the first working day 7 days after the latest retest certificate, once the in-house iCoA exists</t>
        </is>
      </c>
    </row>
    <row r="139">
      <c r="A139" s="2">
        <f>IF(C139="yes",COUNT(A$1:A138)+1,"")</f>
        <v/>
      </c>
      <c r="B139" s="3">
        <f>IF(A139&lt;&gt;"","CoQ-PP_26-"&amp;TEXT(A139,"000"),"— at issue —")</f>
        <v/>
      </c>
      <c r="C139" s="6" t="inlineStr">
        <is>
          <t>no</t>
        </is>
      </c>
      <c r="D139" s="5">
        <f>IF(A139="","",MAX(E139,IF(ISNUMBER(I139),I139,0),IFERROR(IF(ISNUMBER(INDEX('iCoA Register'!$F:$F,MATCH(S139,'iCoA Register'!$P:$P,0))),(INDEX('iCoA Register'!$F:$F,MATCH(S139,'iCoA Register'!$P:$P,0)))+CHOOSE(WEEKDAY(INDEX('iCoA Register'!$F:$F,MATCH(S139,'iCoA Register'!$P:$P,0)),2),0,0,0,0,0,2,1),0),0)))</f>
        <v/>
      </c>
      <c r="E139" s="5">
        <f>IF(ISNUMBER(F139),MAX(DATE(2026,5,27),(F139+7)+CHOOSE(WEEKDAY(F139+7,2),0,0,0,0,0,2,1)),"at retest sampling")</f>
        <v/>
      </c>
      <c r="F139" s="5" t="n">
        <v>46265</v>
      </c>
      <c r="G139" s="2" t="inlineStr">
        <is>
          <t>543-1074-26</t>
        </is>
      </c>
      <c r="H139" s="2">
        <f>IFERROR(INDEX('iCoA Register'!$B:$B,MATCH("P060272|R",'iCoA Register'!$P:$P,0)),"—")</f>
        <v/>
      </c>
      <c r="I139" s="5">
        <f>IFERROR(INDEX('iCoA Register'!$D:$D,MATCH("P060272|R",'iCoA Register'!$P:$P,0)),"")</f>
        <v/>
      </c>
      <c r="J139" s="2" t="inlineStr">
        <is>
          <t>post-SOP</t>
        </is>
      </c>
      <c r="K139" s="2" t="inlineStr">
        <is>
          <t>retest — sampled — Tranche 2/3 (potency and mycotoxins pending)</t>
        </is>
      </c>
      <c r="L139" s="3" t="inlineStr">
        <is>
          <t>CC112501</t>
        </is>
      </c>
      <c r="M139" s="2" t="inlineStr">
        <is>
          <t>P060272</t>
        </is>
      </c>
      <c r="N139" s="2" t="inlineStr">
        <is>
          <t>Cash Cow</t>
        </is>
      </c>
      <c r="O139" s="6" t="inlineStr">
        <is>
          <t>— retest assay not yet on file —</t>
        </is>
      </c>
      <c r="P139" s="6" t="inlineStr">
        <is>
          <t>—</t>
        </is>
      </c>
      <c r="Q139" s="2" t="inlineStr">
        <is>
          <t>—</t>
        </is>
      </c>
      <c r="R139" s="2" t="inlineStr">
        <is>
          <t>CoQ reissue (assigned on issue)</t>
        </is>
      </c>
      <c r="S139" s="2" t="inlineStr">
        <is>
          <t>P060272|R</t>
        </is>
      </c>
      <c r="T139" s="9" t="inlineStr">
        <is>
          <t>not yet issuable — sampled — microbiology on file, retest assay pending · issued on the first working day 7 days after the latest retest certificate, once the in-house iCoA exists</t>
        </is>
      </c>
    </row>
    <row r="140">
      <c r="A140" s="2">
        <f>IF(C140="yes",COUNT(A$1:A139)+1,"")</f>
        <v/>
      </c>
      <c r="B140" s="3">
        <f>IF(A140&lt;&gt;"","CoQ-PP_26-"&amp;TEXT(A140,"000"),"— at issue —")</f>
        <v/>
      </c>
      <c r="C140" s="6" t="inlineStr">
        <is>
          <t>no</t>
        </is>
      </c>
      <c r="D140" s="5">
        <f>IF(A140="","",MAX(E140,IF(ISNUMBER(I140),I140,0),IFERROR(IF(ISNUMBER(INDEX('iCoA Register'!$F:$F,MATCH(S140,'iCoA Register'!$P:$P,0))),(INDEX('iCoA Register'!$F:$F,MATCH(S140,'iCoA Register'!$P:$P,0)))+CHOOSE(WEEKDAY(INDEX('iCoA Register'!$F:$F,MATCH(S140,'iCoA Register'!$P:$P,0)),2),0,0,0,0,0,2,1),0),0)))</f>
        <v/>
      </c>
      <c r="E140" s="5">
        <f>IF(ISNUMBER(F140),MAX(DATE(2026,5,27),(F140+7)+CHOOSE(WEEKDAY(F140+7,2),0,0,0,0,0,2,1)),"at retest sampling")</f>
        <v/>
      </c>
      <c r="F140" s="5" t="n">
        <v>46265</v>
      </c>
      <c r="G140" s="2" t="inlineStr">
        <is>
          <t>542-1073-26</t>
        </is>
      </c>
      <c r="H140" s="2">
        <f>IFERROR(INDEX('iCoA Register'!$B:$B,MATCH("P060292|R",'iCoA Register'!$P:$P,0)),"—")</f>
        <v/>
      </c>
      <c r="I140" s="5">
        <f>IFERROR(INDEX('iCoA Register'!$D:$D,MATCH("P060292|R",'iCoA Register'!$P:$P,0)),"")</f>
        <v/>
      </c>
      <c r="J140" s="2" t="inlineStr">
        <is>
          <t>post-SOP</t>
        </is>
      </c>
      <c r="K140" s="2" t="inlineStr">
        <is>
          <t>retest — sampled — Tranche 2/3 (potency and mycotoxins pending)</t>
        </is>
      </c>
      <c r="L140" s="3" t="inlineStr">
        <is>
          <t>FB112501</t>
        </is>
      </c>
      <c r="M140" s="2" t="inlineStr">
        <is>
          <t>P060292</t>
        </is>
      </c>
      <c r="N140" s="2" t="inlineStr">
        <is>
          <t>Fat Bastard</t>
        </is>
      </c>
      <c r="O140" s="6" t="inlineStr">
        <is>
          <t>— retest assay not yet on file —</t>
        </is>
      </c>
      <c r="P140" s="6" t="inlineStr">
        <is>
          <t>—</t>
        </is>
      </c>
      <c r="Q140" s="2" t="inlineStr">
        <is>
          <t>—</t>
        </is>
      </c>
      <c r="R140" s="2" t="inlineStr">
        <is>
          <t>CoQ reissue (assigned on issue)</t>
        </is>
      </c>
      <c r="S140" s="2" t="inlineStr">
        <is>
          <t>P060292|R</t>
        </is>
      </c>
      <c r="T140" s="9" t="inlineStr">
        <is>
          <t>not yet issuable — sampled — microbiology on file, retest assay pending · issued on the first working day 7 days after the latest retest certificate, once the in-house iCoA exists</t>
        </is>
      </c>
    </row>
    <row r="141">
      <c r="A141" s="2">
        <f>IF(C141="yes",COUNT(A$1:A140)+1,"")</f>
        <v/>
      </c>
      <c r="B141" s="3">
        <f>IF(A141&lt;&gt;"","CoQ-PP_26-"&amp;TEXT(A141,"000"),"— at issue —")</f>
        <v/>
      </c>
      <c r="C141" s="6" t="inlineStr">
        <is>
          <t>no</t>
        </is>
      </c>
      <c r="D141" s="5">
        <f>IF(A141="","",MAX(E141,IF(ISNUMBER(I141),I141,0),IFERROR(IF(ISNUMBER(INDEX('iCoA Register'!$F:$F,MATCH(S141,'iCoA Register'!$P:$P,0))),(INDEX('iCoA Register'!$F:$F,MATCH(S141,'iCoA Register'!$P:$P,0)))+CHOOSE(WEEKDAY(INDEX('iCoA Register'!$F:$F,MATCH(S141,'iCoA Register'!$P:$P,0)),2),0,0,0,0,0,2,1),0),0)))</f>
        <v/>
      </c>
      <c r="E141" s="5">
        <f>IF(ISNUMBER(F141),MAX(DATE(2026,5,27),(F141+7)+CHOOSE(WEEKDAY(F141+7,2),0,0,0,0,0,2,1)),"at retest sampling")</f>
        <v/>
      </c>
      <c r="F141" s="5" t="n">
        <v>46265</v>
      </c>
      <c r="G141" s="2" t="inlineStr">
        <is>
          <t>541-1072-26</t>
        </is>
      </c>
      <c r="H141" s="2">
        <f>IFERROR(INDEX('iCoA Register'!$B:$B,MATCH("P060302|R",'iCoA Register'!$P:$P,0)),"—")</f>
        <v/>
      </c>
      <c r="I141" s="5">
        <f>IFERROR(INDEX('iCoA Register'!$D:$D,MATCH("P060302|R",'iCoA Register'!$P:$P,0)),"")</f>
        <v/>
      </c>
      <c r="J141" s="2" t="inlineStr">
        <is>
          <t>post-SOP</t>
        </is>
      </c>
      <c r="K141" s="2" t="inlineStr">
        <is>
          <t>retest — sampled — Tranche 2/3 (potency and mycotoxins pending)</t>
        </is>
      </c>
      <c r="L141" s="3" t="inlineStr">
        <is>
          <t>GG012601＊</t>
        </is>
      </c>
      <c r="M141" s="2" t="inlineStr">
        <is>
          <t>P060302</t>
        </is>
      </c>
      <c r="N141" s="2" t="inlineStr">
        <is>
          <t>Gorilla Glue</t>
        </is>
      </c>
      <c r="O141" s="6" t="inlineStr">
        <is>
          <t>— retest assay not yet on file —</t>
        </is>
      </c>
      <c r="P141" s="6" t="inlineStr">
        <is>
          <t>—</t>
        </is>
      </c>
      <c r="Q141" s="2" t="inlineStr">
        <is>
          <t>—</t>
        </is>
      </c>
      <c r="R141" s="2" t="inlineStr">
        <is>
          <t>CoQ reissue (assigned on issue)</t>
        </is>
      </c>
      <c r="S141" s="2" t="inlineStr">
        <is>
          <t>P060302|R</t>
        </is>
      </c>
      <c r="T141" s="9" t="inlineStr">
        <is>
          <t>not yet issuable — sampled — microbiology on file, retest assay pending · issued on the first working day 7 days after the latest retest certificate, once the in-house iCoA exists</t>
        </is>
      </c>
    </row>
    <row r="142">
      <c r="A142" s="2">
        <f>IF(C142="yes",COUNT(A$1:A141)+1,"")</f>
        <v/>
      </c>
      <c r="B142" s="3">
        <f>IF(A142&lt;&gt;"","CoQ-PP_26-"&amp;TEXT(A142,"000"),"— at issue —")</f>
        <v/>
      </c>
      <c r="C142" s="6" t="inlineStr">
        <is>
          <t>no</t>
        </is>
      </c>
      <c r="D142" s="5">
        <f>IF(A142="","",MAX(E142,IF(ISNUMBER(I142),I142,0),IFERROR(IF(ISNUMBER(INDEX('iCoA Register'!$F:$F,MATCH(S142,'iCoA Register'!$P:$P,0))),(INDEX('iCoA Register'!$F:$F,MATCH(S142,'iCoA Register'!$P:$P,0)))+CHOOSE(WEEKDAY(INDEX('iCoA Register'!$F:$F,MATCH(S142,'iCoA Register'!$P:$P,0)),2),0,0,0,0,0,2,1),0),0)))</f>
        <v/>
      </c>
      <c r="E142" s="5">
        <f>IF(ISNUMBER(F142),MAX(DATE(2026,5,27),(F142+7)+CHOOSE(WEEKDAY(F142+7,2),0,0,0,0,0,2,1)),"at retest sampling")</f>
        <v/>
      </c>
      <c r="F142" s="5" t="n">
        <v>46265</v>
      </c>
      <c r="G142" s="2" t="inlineStr">
        <is>
          <t>545-1076-26</t>
        </is>
      </c>
      <c r="H142" s="2">
        <f>IFERROR(INDEX('iCoA Register'!$B:$B,MATCH("P060252|R",'iCoA Register'!$P:$P,0)),"—")</f>
        <v/>
      </c>
      <c r="I142" s="5">
        <f>IFERROR(INDEX('iCoA Register'!$D:$D,MATCH("P060252|R",'iCoA Register'!$P:$P,0)),"")</f>
        <v/>
      </c>
      <c r="J142" s="2" t="inlineStr">
        <is>
          <t>legacy</t>
        </is>
      </c>
      <c r="K142" s="2" t="inlineStr">
        <is>
          <t>retest — sampled — Tranche 2/3 (potency and mycotoxins pending)</t>
        </is>
      </c>
      <c r="L142" s="3" t="inlineStr">
        <is>
          <t>GG112501</t>
        </is>
      </c>
      <c r="M142" s="2" t="inlineStr">
        <is>
          <t>P060252</t>
        </is>
      </c>
      <c r="N142" s="2" t="inlineStr">
        <is>
          <t>Gorilla Glue</t>
        </is>
      </c>
      <c r="O142" s="6" t="inlineStr">
        <is>
          <t>— retest assay not yet on file —</t>
        </is>
      </c>
      <c r="P142" s="6" t="inlineStr">
        <is>
          <t>—</t>
        </is>
      </c>
      <c r="Q142" s="2" t="inlineStr">
        <is>
          <t>—</t>
        </is>
      </c>
      <c r="R142" s="2" t="inlineStr">
        <is>
          <t>CoQ reissue (assigned on issue)</t>
        </is>
      </c>
      <c r="S142" s="2" t="inlineStr">
        <is>
          <t>P060252|R</t>
        </is>
      </c>
      <c r="T142" s="9" t="inlineStr">
        <is>
          <t>not yet issuable — sampled — microbiology on file, retest assay pending · issued on the first working day 7 days after the latest retest certificate, once the in-house iCoA exists</t>
        </is>
      </c>
    </row>
    <row r="143">
      <c r="A143" s="2">
        <f>IF(C143="yes",COUNT(A$1:A142)+1,"")</f>
        <v/>
      </c>
      <c r="B143" s="3">
        <f>IF(A143&lt;&gt;"","CoQ-PP_26-"&amp;TEXT(A143,"000"),"— at issue —")</f>
        <v/>
      </c>
      <c r="C143" s="6" t="inlineStr">
        <is>
          <t>no</t>
        </is>
      </c>
      <c r="D143" s="5">
        <f>IF(A143="","",MAX(E143,IF(ISNUMBER(I143),I143,0),IFERROR(IF(ISNUMBER(INDEX('iCoA Register'!$F:$F,MATCH(S143,'iCoA Register'!$P:$P,0))),(INDEX('iCoA Register'!$F:$F,MATCH(S143,'iCoA Register'!$P:$P,0)))+CHOOSE(WEEKDAY(INDEX('iCoA Register'!$F:$F,MATCH(S143,'iCoA Register'!$P:$P,0)),2),0,0,0,0,0,2,1),0),0)))</f>
        <v/>
      </c>
      <c r="E143" s="5">
        <f>IF(ISNUMBER(F143),MAX(DATE(2026,5,27),(F143+7)+CHOOSE(WEEKDAY(F143+7,2),0,0,0,0,0,2,1)),"at retest sampling")</f>
        <v/>
      </c>
      <c r="F143" s="5" t="n">
        <v>46266</v>
      </c>
      <c r="G143" s="2" t="inlineStr">
        <is>
          <t>557-1088-26</t>
        </is>
      </c>
      <c r="H143" s="2">
        <f>IFERROR(INDEX('iCoA Register'!$B:$B,MATCH("P050202|R",'iCoA Register'!$P:$P,0)),"—")</f>
        <v/>
      </c>
      <c r="I143" s="5">
        <f>IFERROR(INDEX('iCoA Register'!$D:$D,MATCH("P050202|R",'iCoA Register'!$P:$P,0)),"")</f>
        <v/>
      </c>
      <c r="J143" s="2" t="inlineStr">
        <is>
          <t>legacy</t>
        </is>
      </c>
      <c r="K143" s="2" t="inlineStr">
        <is>
          <t>retest — sampled — Tranche 2/3 (potency and mycotoxins pending)</t>
        </is>
      </c>
      <c r="L143" s="3" t="inlineStr">
        <is>
          <t>GP062501</t>
        </is>
      </c>
      <c r="M143" s="2" t="inlineStr">
        <is>
          <t>P050202</t>
        </is>
      </c>
      <c r="N143" s="2" t="inlineStr">
        <is>
          <t>Grape Pie</t>
        </is>
      </c>
      <c r="O143" s="6" t="inlineStr">
        <is>
          <t>— retest assay not yet on file —</t>
        </is>
      </c>
      <c r="P143" s="6" t="inlineStr">
        <is>
          <t>—</t>
        </is>
      </c>
      <c r="Q143" s="2" t="inlineStr">
        <is>
          <t>—</t>
        </is>
      </c>
      <c r="R143" s="2" t="inlineStr">
        <is>
          <t>CoQ reissue (assigned on issue)</t>
        </is>
      </c>
      <c r="S143" s="2" t="inlineStr">
        <is>
          <t>P050202|R</t>
        </is>
      </c>
      <c r="T143" s="9" t="inlineStr">
        <is>
          <t>not yet issuable — sampled — microbiology on file, retest assay pending · issued on the first working day 7 days after the latest retest certificate, once the in-house iCoA exists</t>
        </is>
      </c>
    </row>
    <row r="144">
      <c r="A144" s="2">
        <f>IF(C144="yes",COUNT(A$1:A143)+1,"")</f>
        <v/>
      </c>
      <c r="B144" s="3">
        <f>IF(A144&lt;&gt;"","CoQ-PP_26-"&amp;TEXT(A144,"000"),"— at issue —")</f>
        <v/>
      </c>
      <c r="C144" s="6" t="inlineStr">
        <is>
          <t>no</t>
        </is>
      </c>
      <c r="D144" s="5">
        <f>IF(A144="","",MAX(E144,IF(ISNUMBER(I144),I144,0),IFERROR(IF(ISNUMBER(INDEX('iCoA Register'!$F:$F,MATCH(S144,'iCoA Register'!$P:$P,0))),(INDEX('iCoA Register'!$F:$F,MATCH(S144,'iCoA Register'!$P:$P,0)))+CHOOSE(WEEKDAY(INDEX('iCoA Register'!$F:$F,MATCH(S144,'iCoA Register'!$P:$P,0)),2),0,0,0,0,0,2,1),0),0)))</f>
        <v/>
      </c>
      <c r="E144" s="5">
        <f>IF(ISNUMBER(F144),MAX(DATE(2026,5,27),(F144+7)+CHOOSE(WEEKDAY(F144+7,2),0,0,0,0,0,2,1)),"at retest sampling")</f>
        <v/>
      </c>
      <c r="F144" s="5" t="n">
        <v>46265</v>
      </c>
      <c r="G144" s="2" t="inlineStr">
        <is>
          <t>540-1071-26</t>
        </is>
      </c>
      <c r="H144" s="2">
        <f>IFERROR(INDEX('iCoA Register'!$B:$B,MATCH("P060312|R",'iCoA Register'!$P:$P,0)),"—")</f>
        <v/>
      </c>
      <c r="I144" s="5">
        <f>IFERROR(INDEX('iCoA Register'!$D:$D,MATCH("P060312|R",'iCoA Register'!$P:$P,0)),"")</f>
        <v/>
      </c>
      <c r="J144" s="2" t="inlineStr">
        <is>
          <t>post-SOP</t>
        </is>
      </c>
      <c r="K144" s="2" t="inlineStr">
        <is>
          <t>retest — sampled — Tranche 2/3 (potency and mycotoxins pending)</t>
        </is>
      </c>
      <c r="L144" s="3" t="inlineStr">
        <is>
          <t>JD012601＊</t>
        </is>
      </c>
      <c r="M144" s="2" t="inlineStr">
        <is>
          <t>P060312</t>
        </is>
      </c>
      <c r="N144" s="2" t="inlineStr">
        <is>
          <t>Jelly Donutz</t>
        </is>
      </c>
      <c r="O144" s="6" t="inlineStr">
        <is>
          <t>— retest assay not yet on file —</t>
        </is>
      </c>
      <c r="P144" s="6" t="inlineStr">
        <is>
          <t>—</t>
        </is>
      </c>
      <c r="Q144" s="2" t="inlineStr">
        <is>
          <t>—</t>
        </is>
      </c>
      <c r="R144" s="2" t="inlineStr">
        <is>
          <t>CoQ reissue (assigned on issue)</t>
        </is>
      </c>
      <c r="S144" s="2" t="inlineStr">
        <is>
          <t>P060312|R</t>
        </is>
      </c>
      <c r="T144" s="9" t="inlineStr">
        <is>
          <t>not yet issuable — sampled — microbiology on file, retest assay pending · issued on the first working day 7 days after the latest retest certificate, once the in-house iCoA exists</t>
        </is>
      </c>
    </row>
    <row r="145">
      <c r="A145" s="2">
        <f>IF(C145="yes",COUNT(A$1:A144)+1,"")</f>
        <v/>
      </c>
      <c r="B145" s="3">
        <f>IF(A145&lt;&gt;"","CoQ-PP_26-"&amp;TEXT(A145,"000"),"— at issue —")</f>
        <v/>
      </c>
      <c r="C145" s="6" t="inlineStr">
        <is>
          <t>no</t>
        </is>
      </c>
      <c r="D145" s="5">
        <f>IF(A145="","",MAX(E145,IF(ISNUMBER(I145),I145,0),IFERROR(IF(ISNUMBER(INDEX('iCoA Register'!$F:$F,MATCH(S145,'iCoA Register'!$P:$P,0))),(INDEX('iCoA Register'!$F:$F,MATCH(S145,'iCoA Register'!$P:$P,0)))+CHOOSE(WEEKDAY(INDEX('iCoA Register'!$F:$F,MATCH(S145,'iCoA Register'!$P:$P,0)),2),0,0,0,0,0,2,1),0),0)))</f>
        <v/>
      </c>
      <c r="E145" s="5">
        <f>IF(ISNUMBER(F145),MAX(DATE(2026,5,27),(F145+7)+CHOOSE(WEEKDAY(F145+7,2),0,0,0,0,0,2,1)),"at retest sampling")</f>
        <v/>
      </c>
      <c r="F145" s="5" t="inlineStr">
        <is>
          <t>— not yet sampled —</t>
        </is>
      </c>
      <c r="G145" s="2" t="inlineStr">
        <is>
          <t>—</t>
        </is>
      </c>
      <c r="H145" s="2">
        <f>IFERROR(INDEX('iCoA Register'!$B:$B,MATCH("P060282|R",'iCoA Register'!$P:$P,0)),"—")</f>
        <v/>
      </c>
      <c r="I145" s="5">
        <f>IFERROR(INDEX('iCoA Register'!$D:$D,MATCH("P060282|R",'iCoA Register'!$P:$P,0)),"")</f>
        <v/>
      </c>
      <c r="J145" s="2" t="inlineStr">
        <is>
          <t>post-SOP</t>
        </is>
      </c>
      <c r="K145" s="2" t="inlineStr">
        <is>
          <t>retest — not yet sampled</t>
        </is>
      </c>
      <c r="L145" s="3" t="inlineStr">
        <is>
          <t>SCR112501</t>
        </is>
      </c>
      <c r="M145" s="2" t="inlineStr">
        <is>
          <t>P060282</t>
        </is>
      </c>
      <c r="N145" s="2" t="inlineStr">
        <is>
          <t>Scrambler</t>
        </is>
      </c>
      <c r="O145" s="6" t="inlineStr">
        <is>
          <t>— retest assay not yet on file —</t>
        </is>
      </c>
      <c r="P145" s="6" t="inlineStr">
        <is>
          <t>—</t>
        </is>
      </c>
      <c r="Q145" s="2" t="inlineStr">
        <is>
          <t>—</t>
        </is>
      </c>
      <c r="R145" s="2" t="inlineStr">
        <is>
          <t>CoQ reissue (assigned on issue)</t>
        </is>
      </c>
      <c r="S145" s="2" t="inlineStr">
        <is>
          <t>P060282|R</t>
        </is>
      </c>
      <c r="T145" s="9" t="inlineStr">
        <is>
          <t>not yet issuable — pending — not yet sampled · issued on the first working day 7 days after the latest retest certificate, once the in-house iCoA exists</t>
        </is>
      </c>
    </row>
    <row r="146">
      <c r="A146" s="2">
        <f>IF(C146="yes",COUNT(A$1:A145)+1,"")</f>
        <v/>
      </c>
      <c r="B146" s="3">
        <f>IF(A146&lt;&gt;"","CoQ-PP_26-"&amp;TEXT(A146,"000"),"— at issue —")</f>
        <v/>
      </c>
      <c r="C146" s="6" t="inlineStr">
        <is>
          <t>no</t>
        </is>
      </c>
      <c r="D146" s="5">
        <f>IF(A146="","",MAX(E146,IF(ISNUMBER(I146),I146,0),IFERROR(IF(ISNUMBER(INDEX('iCoA Register'!$F:$F,MATCH(S146,'iCoA Register'!$P:$P,0))),(INDEX('iCoA Register'!$F:$F,MATCH(S146,'iCoA Register'!$P:$P,0)))+CHOOSE(WEEKDAY(INDEX('iCoA Register'!$F:$F,MATCH(S146,'iCoA Register'!$P:$P,0)),2),0,0,0,0,0,2,1),0),0)))</f>
        <v/>
      </c>
      <c r="E146" s="5">
        <f>IF(ISNUMBER(F146),MAX(DATE(2026,5,27),(F146+7)+CHOOSE(WEEKDAY(F146+7,2),0,0,0,0,0,2,1)),"at retest sampling")</f>
        <v/>
      </c>
      <c r="F146" s="5" t="inlineStr">
        <is>
          <t>— not yet sampled —</t>
        </is>
      </c>
      <c r="G146" s="2" t="inlineStr">
        <is>
          <t>—</t>
        </is>
      </c>
      <c r="H146" s="2">
        <f>IFERROR(INDEX('iCoA Register'!$B:$B,MATCH("P060322|R",'iCoA Register'!$P:$P,0)),"—")</f>
        <v/>
      </c>
      <c r="I146" s="5">
        <f>IFERROR(INDEX('iCoA Register'!$D:$D,MATCH("P060322|R",'iCoA Register'!$P:$P,0)),"")</f>
        <v/>
      </c>
      <c r="J146" s="2" t="inlineStr">
        <is>
          <t>post-SOP</t>
        </is>
      </c>
      <c r="K146" s="2" t="inlineStr">
        <is>
          <t>retest — not yet sampled</t>
        </is>
      </c>
      <c r="L146" s="3" t="inlineStr">
        <is>
          <t>FB012601_1</t>
        </is>
      </c>
      <c r="M146" s="2" t="inlineStr">
        <is>
          <t>P060322</t>
        </is>
      </c>
      <c r="N146" s="2" t="inlineStr">
        <is>
          <t>Fat Bastard</t>
        </is>
      </c>
      <c r="O146" s="6" t="inlineStr">
        <is>
          <t>— retest assay not yet on file —</t>
        </is>
      </c>
      <c r="P146" s="6" t="inlineStr">
        <is>
          <t>—</t>
        </is>
      </c>
      <c r="Q146" s="2" t="inlineStr">
        <is>
          <t>—</t>
        </is>
      </c>
      <c r="R146" s="2" t="inlineStr">
        <is>
          <t>CoQ reissue (assigned on issue)</t>
        </is>
      </c>
      <c r="S146" s="2" t="inlineStr">
        <is>
          <t>P060322|R</t>
        </is>
      </c>
      <c r="T146" s="9" t="inlineStr">
        <is>
          <t>not yet issuable — pending — not yet sampled · issued on the first working day 7 days after the latest retest certificate, once the in-house iCoA exists</t>
        </is>
      </c>
    </row>
    <row r="147">
      <c r="A147" s="2">
        <f>IF(C147="yes",COUNT(A$1:A146)+1,"")</f>
        <v/>
      </c>
      <c r="B147" s="3">
        <f>IF(A147&lt;&gt;"","CoQ-PP_26-"&amp;TEXT(A147,"000"),"— at issue —")</f>
        <v/>
      </c>
      <c r="C147" s="6" t="inlineStr">
        <is>
          <t>no</t>
        </is>
      </c>
      <c r="D147" s="5">
        <f>IF(A147="","",MAX(E147,IF(ISNUMBER(I147),I147,0),IFERROR(IF(ISNUMBER(INDEX('iCoA Register'!$F:$F,MATCH(S147,'iCoA Register'!$P:$P,0))),(INDEX('iCoA Register'!$F:$F,MATCH(S147,'iCoA Register'!$P:$P,0)))+CHOOSE(WEEKDAY(INDEX('iCoA Register'!$F:$F,MATCH(S147,'iCoA Register'!$P:$P,0)),2),0,0,0,0,0,2,1),0),0)))</f>
        <v/>
      </c>
      <c r="E147" s="5">
        <f>IF(ISNUMBER(F147),MAX(DATE(2026,5,27),(F147+7)+CHOOSE(WEEKDAY(F147+7,2),0,0,0,0,0,2,1)),"at retest sampling")</f>
        <v/>
      </c>
      <c r="F147" s="5" t="n">
        <v>46244</v>
      </c>
      <c r="G147" s="2" t="inlineStr">
        <is>
          <t>197-7-M-26</t>
        </is>
      </c>
      <c r="H147" s="2">
        <f>IFERROR(INDEX('iCoA Register'!$B:$B,MATCH("P060352|R",'iCoA Register'!$P:$P,0)),"—")</f>
        <v/>
      </c>
      <c r="I147" s="5">
        <f>IFERROR(INDEX('iCoA Register'!$D:$D,MATCH("P060352|R",'iCoA Register'!$P:$P,0)),"")</f>
        <v/>
      </c>
      <c r="J147" s="2" t="inlineStr">
        <is>
          <t>post-SOP</t>
        </is>
      </c>
      <c r="K147" s="2" t="inlineStr">
        <is>
          <t>retest — re-analysed</t>
        </is>
      </c>
      <c r="L147" s="3" t="inlineStr">
        <is>
          <t>FB012602*</t>
        </is>
      </c>
      <c r="M147" s="2" t="inlineStr">
        <is>
          <t>P060352</t>
        </is>
      </c>
      <c r="N147" s="2" t="inlineStr">
        <is>
          <t>Fat Bastard</t>
        </is>
      </c>
      <c r="O147" s="2" t="inlineStr">
        <is>
          <t>197-7-K-26, (07.08.2026) [FHM-K]</t>
        </is>
      </c>
      <c r="P147" s="6" t="inlineStr">
        <is>
          <t>—</t>
        </is>
      </c>
      <c r="Q147" s="2" t="inlineStr">
        <is>
          <t>—</t>
        </is>
      </c>
      <c r="R147" s="2" t="inlineStr">
        <is>
          <t>CoQ reissue (assigned on issue)</t>
        </is>
      </c>
      <c r="S147" s="2" t="inlineStr">
        <is>
          <t>P060352|R</t>
        </is>
      </c>
      <c r="T147" s="9" t="inlineStr">
        <is>
          <t>not yet issuable — due — retest assay, mycotoxins on file; in-house iCoA to test · issued on the first working day 7 days after the latest retest certificate, once the in-house iCoA exists</t>
        </is>
      </c>
    </row>
    <row r="148">
      <c r="A148" s="2">
        <f>IF(C148="yes",COUNT(A$1:A147)+1,"")</f>
        <v/>
      </c>
      <c r="B148" s="3">
        <f>IF(A148&lt;&gt;"","CoQ-PP_26-"&amp;TEXT(A148,"000"),"— at issue —")</f>
        <v/>
      </c>
      <c r="C148" s="6" t="inlineStr">
        <is>
          <t>no</t>
        </is>
      </c>
      <c r="D148" s="5">
        <f>IF(A148="","",MAX(E148,IF(ISNUMBER(I148),I148,0),IFERROR(IF(ISNUMBER(INDEX('iCoA Register'!$F:$F,MATCH(S148,'iCoA Register'!$P:$P,0))),(INDEX('iCoA Register'!$F:$F,MATCH(S148,'iCoA Register'!$P:$P,0)))+CHOOSE(WEEKDAY(INDEX('iCoA Register'!$F:$F,MATCH(S148,'iCoA Register'!$P:$P,0)),2),0,0,0,0,0,2,1),0),0)))</f>
        <v/>
      </c>
      <c r="E148" s="5">
        <f>IF(ISNUMBER(F148),MAX(DATE(2026,5,27),(F148+7)+CHOOSE(WEEKDAY(F148+7,2),0,0,0,0,0,2,1)),"at retest sampling")</f>
        <v/>
      </c>
      <c r="F148" s="5" t="n">
        <v>46203</v>
      </c>
      <c r="G148" s="2" t="inlineStr">
        <is>
          <t>ППК26113</t>
        </is>
      </c>
      <c r="H148" s="2">
        <f>IFERROR(INDEX('iCoA Register'!$B:$B,MATCH("P060362|R",'iCoA Register'!$P:$P,0)),"—")</f>
        <v/>
      </c>
      <c r="I148" s="5">
        <f>IFERROR(INDEX('iCoA Register'!$D:$D,MATCH("P060362|R",'iCoA Register'!$P:$P,0)),"")</f>
        <v/>
      </c>
      <c r="J148" s="2" t="inlineStr">
        <is>
          <t>post-SOP</t>
        </is>
      </c>
      <c r="K148" s="2" t="inlineStr">
        <is>
          <t>retest — re-analysed</t>
        </is>
      </c>
      <c r="L148" s="3" t="inlineStr">
        <is>
          <t>JD012603</t>
        </is>
      </c>
      <c r="M148" s="2" t="inlineStr">
        <is>
          <t>P060362</t>
        </is>
      </c>
      <c r="N148" s="2" t="inlineStr"/>
      <c r="O148" s="2" t="inlineStr">
        <is>
          <t>ППК26113, (30.06.2026) [CNP]</t>
        </is>
      </c>
      <c r="P148" s="6" t="inlineStr">
        <is>
          <t>—</t>
        </is>
      </c>
      <c r="Q148" s="2" t="inlineStr">
        <is>
          <t>—</t>
        </is>
      </c>
      <c r="R148" s="2" t="inlineStr">
        <is>
          <t>CoQ reissue (assigned on issue)</t>
        </is>
      </c>
      <c r="S148" s="2" t="inlineStr">
        <is>
          <t>P060362|R</t>
        </is>
      </c>
      <c r="T148" s="9" t="inlineStr">
        <is>
          <t>not yet issuable — due — retest assay on file, mycotoxins pending · issued on the first working day 7 days after the latest retest certificate, once the in-house iCoA exists</t>
        </is>
      </c>
    </row>
    <row r="149">
      <c r="A149" s="2">
        <f>IF(C149="yes",COUNT(A$1:A148)+1,"")</f>
        <v/>
      </c>
      <c r="B149" s="3">
        <f>IF(A149&lt;&gt;"","CoQ-PP_26-"&amp;TEXT(A149,"000"),"— at issue —")</f>
        <v/>
      </c>
      <c r="C149" s="6" t="inlineStr">
        <is>
          <t>no</t>
        </is>
      </c>
      <c r="D149" s="5">
        <f>IF(A149="","",MAX(E149,IF(ISNUMBER(I149),I149,0),IFERROR(IF(ISNUMBER(INDEX('iCoA Register'!$F:$F,MATCH(S149,'iCoA Register'!$P:$P,0))),(INDEX('iCoA Register'!$F:$F,MATCH(S149,'iCoA Register'!$P:$P,0)))+CHOOSE(WEEKDAY(INDEX('iCoA Register'!$F:$F,MATCH(S149,'iCoA Register'!$P:$P,0)),2),0,0,0,0,0,2,1),0),0)))</f>
        <v/>
      </c>
      <c r="E149" s="5">
        <f>IF(ISNUMBER(F149),MAX(DATE(2026,5,27),(F149+7)+CHOOSE(WEEKDAY(F149+7,2),0,0,0,0,0,2,1)),"at retest sampling")</f>
        <v/>
      </c>
      <c r="F149" s="5" t="n">
        <v>46203</v>
      </c>
      <c r="G149" s="2" t="inlineStr">
        <is>
          <t>ППК26113</t>
        </is>
      </c>
      <c r="H149" s="2">
        <f>IFERROR(INDEX('iCoA Register'!$B:$B,MATCH("P060422|R",'iCoA Register'!$P:$P,0)),"—")</f>
        <v/>
      </c>
      <c r="I149" s="5">
        <f>IFERROR(INDEX('iCoA Register'!$D:$D,MATCH("P060422|R",'iCoA Register'!$P:$P,0)),"")</f>
        <v/>
      </c>
      <c r="J149" s="2" t="inlineStr">
        <is>
          <t>post-SOP</t>
        </is>
      </c>
      <c r="K149" s="2" t="inlineStr">
        <is>
          <t>retest — re-analysed</t>
        </is>
      </c>
      <c r="L149" s="3" t="inlineStr">
        <is>
          <t>JD012603</t>
        </is>
      </c>
      <c r="M149" s="2" t="inlineStr">
        <is>
          <t>P060422</t>
        </is>
      </c>
      <c r="N149" s="2" t="inlineStr"/>
      <c r="O149" s="2" t="inlineStr">
        <is>
          <t>ППК26113, (30.06.2026) [CNP]</t>
        </is>
      </c>
      <c r="P149" s="6" t="inlineStr">
        <is>
          <t>—</t>
        </is>
      </c>
      <c r="Q149" s="2" t="inlineStr">
        <is>
          <t>—</t>
        </is>
      </c>
      <c r="R149" s="2" t="inlineStr">
        <is>
          <t>CoQ reissue (assigned on issue)</t>
        </is>
      </c>
      <c r="S149" s="2" t="inlineStr">
        <is>
          <t>P060422|R</t>
        </is>
      </c>
      <c r="T149" s="9" t="inlineStr">
        <is>
          <t>not yet issuable — due — retest assay on file, mycotoxins pending · issued on the first working day 7 days after the latest retest certificate, once the in-house iCoA exists</t>
        </is>
      </c>
    </row>
    <row r="150">
      <c r="A150" s="2">
        <f>IF(C150="yes",COUNT(A$1:A149)+1,"")</f>
        <v/>
      </c>
      <c r="B150" s="3">
        <f>IF(A150&lt;&gt;"","CoQ-PP_26-"&amp;TEXT(A150,"000"),"— at issue —")</f>
        <v/>
      </c>
      <c r="C150" s="6" t="inlineStr">
        <is>
          <t>no</t>
        </is>
      </c>
      <c r="D150" s="5">
        <f>IF(A150="","",MAX(E150,IF(ISNUMBER(I150),I150,0),IFERROR(IF(ISNUMBER(INDEX('iCoA Register'!$F:$F,MATCH(S150,'iCoA Register'!$P:$P,0))),(INDEX('iCoA Register'!$F:$F,MATCH(S150,'iCoA Register'!$P:$P,0)))+CHOOSE(WEEKDAY(INDEX('iCoA Register'!$F:$F,MATCH(S150,'iCoA Register'!$P:$P,0)),2),0,0,0,0,0,2,1),0),0)))</f>
        <v/>
      </c>
      <c r="E150" s="5">
        <f>IF(ISNUMBER(F150),MAX(DATE(2026,5,27),(F150+7)+CHOOSE(WEEKDAY(F150+7,2),0,0,0,0,0,2,1)),"at retest sampling")</f>
        <v/>
      </c>
      <c r="F150" s="5" t="n">
        <v>46244</v>
      </c>
      <c r="G150" s="2" t="inlineStr">
        <is>
          <t>197-8-M-26</t>
        </is>
      </c>
      <c r="H150" s="2">
        <f>IFERROR(INDEX('iCoA Register'!$B:$B,MATCH("P060402|R",'iCoA Register'!$P:$P,0)),"—")</f>
        <v/>
      </c>
      <c r="I150" s="5">
        <f>IFERROR(INDEX('iCoA Register'!$D:$D,MATCH("P060402|R",'iCoA Register'!$P:$P,0)),"")</f>
        <v/>
      </c>
      <c r="J150" s="2" t="inlineStr">
        <is>
          <t>post-SOP</t>
        </is>
      </c>
      <c r="K150" s="2" t="inlineStr">
        <is>
          <t>retest — re-analysed</t>
        </is>
      </c>
      <c r="L150" s="3" t="inlineStr">
        <is>
          <t>GG012603</t>
        </is>
      </c>
      <c r="M150" s="2" t="inlineStr">
        <is>
          <t>P060402</t>
        </is>
      </c>
      <c r="N150" s="2" t="inlineStr">
        <is>
          <t>GorillaGlue</t>
        </is>
      </c>
      <c r="O150" s="2" t="inlineStr">
        <is>
          <t>197-8-K-26, (07.08.2026) [FHM-K]</t>
        </is>
      </c>
      <c r="P150" s="6" t="inlineStr">
        <is>
          <t>—</t>
        </is>
      </c>
      <c r="Q150" s="2" t="inlineStr">
        <is>
          <t>—</t>
        </is>
      </c>
      <c r="R150" s="2" t="inlineStr">
        <is>
          <t>CoQ reissue (assigned on issue)</t>
        </is>
      </c>
      <c r="S150" s="2" t="inlineStr">
        <is>
          <t>P060402|R</t>
        </is>
      </c>
      <c r="T150" s="9" t="inlineStr">
        <is>
          <t>not yet issuable — due — retest assay, mycotoxins on file; in-house iCoA to test · issued on the first working day 7 days after the latest retest certificate, once the in-house iCoA exists</t>
        </is>
      </c>
    </row>
    <row r="151">
      <c r="A151" s="2">
        <f>IF(C151="yes",COUNT(A$1:A150)+1,"")</f>
        <v/>
      </c>
      <c r="B151" s="3">
        <f>IF(A151&lt;&gt;"","CoQ-PP_26-"&amp;TEXT(A151,"000"),"— at issue —")</f>
        <v/>
      </c>
      <c r="C151" s="6" t="inlineStr">
        <is>
          <t>no</t>
        </is>
      </c>
      <c r="D151" s="5">
        <f>IF(A151="","",MAX(E151,IF(ISNUMBER(I151),I151,0),IFERROR(IF(ISNUMBER(INDEX('iCoA Register'!$F:$F,MATCH(S151,'iCoA Register'!$P:$P,0))),(INDEX('iCoA Register'!$F:$F,MATCH(S151,'iCoA Register'!$P:$P,0)))+CHOOSE(WEEKDAY(INDEX('iCoA Register'!$F:$F,MATCH(S151,'iCoA Register'!$P:$P,0)),2),0,0,0,0,0,2,1),0),0)))</f>
        <v/>
      </c>
      <c r="E151" s="5">
        <f>IF(ISNUMBER(F151),MAX(DATE(2026,5,27),(F151+7)+CHOOSE(WEEKDAY(F151+7,2),0,0,0,0,0,2,1)),"at retest sampling")</f>
        <v/>
      </c>
      <c r="F151" s="5" t="n">
        <v>46203</v>
      </c>
      <c r="G151" s="2" t="inlineStr">
        <is>
          <t>ППК26113</t>
        </is>
      </c>
      <c r="H151" s="2">
        <f>IFERROR(INDEX('iCoA Register'!$B:$B,MATCH("P060412|R",'iCoA Register'!$P:$P,0)),"—")</f>
        <v/>
      </c>
      <c r="I151" s="5">
        <f>IFERROR(INDEX('iCoA Register'!$D:$D,MATCH("P060412|R",'iCoA Register'!$P:$P,0)),"")</f>
        <v/>
      </c>
      <c r="J151" s="2" t="inlineStr">
        <is>
          <t>post-SOP</t>
        </is>
      </c>
      <c r="K151" s="2" t="inlineStr">
        <is>
          <t>retest — re-analysed</t>
        </is>
      </c>
      <c r="L151" s="3" t="inlineStr">
        <is>
          <t>JD012603</t>
        </is>
      </c>
      <c r="M151" s="2" t="inlineStr">
        <is>
          <t>P060412</t>
        </is>
      </c>
      <c r="N151" s="2" t="inlineStr"/>
      <c r="O151" s="2" t="inlineStr">
        <is>
          <t>ППК26113, (30.06.2026) [CNP]</t>
        </is>
      </c>
      <c r="P151" s="6" t="inlineStr">
        <is>
          <t>—</t>
        </is>
      </c>
      <c r="Q151" s="2" t="inlineStr">
        <is>
          <t>—</t>
        </is>
      </c>
      <c r="R151" s="2" t="inlineStr">
        <is>
          <t>CoQ reissue (assigned on issue)</t>
        </is>
      </c>
      <c r="S151" s="2" t="inlineStr">
        <is>
          <t>P060412|R</t>
        </is>
      </c>
      <c r="T151" s="9" t="inlineStr">
        <is>
          <t>not yet issuable — due — retest assay on file, mycotoxins pending · issued on the first working day 7 days after the latest retest certificate, once the in-house iCoA exists</t>
        </is>
      </c>
    </row>
    <row r="152">
      <c r="A152" s="2">
        <f>IF(C152="yes",COUNT(A$1:A151)+1,"")</f>
        <v/>
      </c>
      <c r="B152" s="3">
        <f>IF(A152&lt;&gt;"","CoQ-PP_26-"&amp;TEXT(A152,"000"),"— at issue —")</f>
        <v/>
      </c>
      <c r="C152" s="6" t="inlineStr">
        <is>
          <t>no</t>
        </is>
      </c>
      <c r="D152" s="5">
        <f>IF(A152="","",MAX(E152,IF(ISNUMBER(I152),I152,0),IFERROR(IF(ISNUMBER(INDEX('iCoA Register'!$F:$F,MATCH(S152,'iCoA Register'!$P:$P,0))),(INDEX('iCoA Register'!$F:$F,MATCH(S152,'iCoA Register'!$P:$P,0)))+CHOOSE(WEEKDAY(INDEX('iCoA Register'!$F:$F,MATCH(S152,'iCoA Register'!$P:$P,0)),2),0,0,0,0,0,2,1),0),0)))</f>
        <v/>
      </c>
      <c r="E152" s="5">
        <f>IF(ISNUMBER(F152),MAX(DATE(2026,5,27),(F152+7)+CHOOSE(WEEKDAY(F152+7,2),0,0,0,0,0,2,1)),"at retest sampling")</f>
        <v/>
      </c>
      <c r="F152" s="5" t="n">
        <v>46244</v>
      </c>
      <c r="G152" s="2" t="inlineStr">
        <is>
          <t>197-21-M-26</t>
        </is>
      </c>
      <c r="H152" s="2">
        <f>IFERROR(INDEX('iCoA Register'!$B:$B,MATCH("P060382|R",'iCoA Register'!$P:$P,0)),"—")</f>
        <v/>
      </c>
      <c r="I152" s="5">
        <f>IFERROR(INDEX('iCoA Register'!$D:$D,MATCH("P060382|R",'iCoA Register'!$P:$P,0)),"")</f>
        <v/>
      </c>
      <c r="J152" s="2" t="inlineStr">
        <is>
          <t>post-SOP</t>
        </is>
      </c>
      <c r="K152" s="2" t="inlineStr">
        <is>
          <t>retest — re-analysed</t>
        </is>
      </c>
      <c r="L152" s="3" t="inlineStr">
        <is>
          <t>SCR012603</t>
        </is>
      </c>
      <c r="M152" s="2" t="inlineStr">
        <is>
          <t>P060382</t>
        </is>
      </c>
      <c r="N152" s="2" t="inlineStr">
        <is>
          <t>Scrambler</t>
        </is>
      </c>
      <c r="O152" s="2" t="inlineStr">
        <is>
          <t>197-21-K-26, (07.08.2026) [FHM-K]</t>
        </is>
      </c>
      <c r="P152" s="6" t="inlineStr">
        <is>
          <t>—</t>
        </is>
      </c>
      <c r="Q152" s="2" t="inlineStr">
        <is>
          <t>—</t>
        </is>
      </c>
      <c r="R152" s="2" t="inlineStr">
        <is>
          <t>CoQ reissue (assigned on issue)</t>
        </is>
      </c>
      <c r="S152" s="2" t="inlineStr">
        <is>
          <t>P060382|R</t>
        </is>
      </c>
      <c r="T152" s="9" t="inlineStr">
        <is>
          <t>not yet issuable — due — retest assay, mycotoxins on file; in-house iCoA to test · issued on the first working day 7 days after the latest retest certificate, once the in-house iCoA exists</t>
        </is>
      </c>
    </row>
    <row r="153">
      <c r="A153" s="2">
        <f>IF(C153="yes",COUNT(A$1:A152)+1,"")</f>
        <v/>
      </c>
      <c r="B153" s="3">
        <f>IF(A153&lt;&gt;"","CoQ-PP_26-"&amp;TEXT(A153,"000"),"— at issue —")</f>
        <v/>
      </c>
      <c r="C153" s="6" t="inlineStr">
        <is>
          <t>no</t>
        </is>
      </c>
      <c r="D153" s="5">
        <f>IF(A153="","",MAX(E153,IF(ISNUMBER(I153),I153,0),IFERROR(IF(ISNUMBER(INDEX('iCoA Register'!$F:$F,MATCH(S153,'iCoA Register'!$P:$P,0))),(INDEX('iCoA Register'!$F:$F,MATCH(S153,'iCoA Register'!$P:$P,0)))+CHOOSE(WEEKDAY(INDEX('iCoA Register'!$F:$F,MATCH(S153,'iCoA Register'!$P:$P,0)),2),0,0,0,0,0,2,1),0),0)))</f>
        <v/>
      </c>
      <c r="E153" s="5">
        <f>IF(ISNUMBER(F153),MAX(DATE(2026,5,27),(F153+7)+CHOOSE(WEEKDAY(F153+7,2),0,0,0,0,0,2,1)),"at retest sampling")</f>
        <v/>
      </c>
      <c r="F153" s="5" t="inlineStr">
        <is>
          <t>— not yet sampled —</t>
        </is>
      </c>
      <c r="G153" s="2" t="inlineStr">
        <is>
          <t>—</t>
        </is>
      </c>
      <c r="H153" s="2">
        <f>IFERROR(INDEX('iCoA Register'!$B:$B,MATCH("P060432|R",'iCoA Register'!$P:$P,0)),"—")</f>
        <v/>
      </c>
      <c r="I153" s="5">
        <f>IFERROR(INDEX('iCoA Register'!$D:$D,MATCH("P060432|R",'iCoA Register'!$P:$P,0)),"")</f>
        <v/>
      </c>
      <c r="J153" s="2" t="inlineStr">
        <is>
          <t>post-SOP</t>
        </is>
      </c>
      <c r="K153" s="2" t="inlineStr">
        <is>
          <t>retest — not yet sampled</t>
        </is>
      </c>
      <c r="L153" s="3" t="inlineStr">
        <is>
          <t>FB012603</t>
        </is>
      </c>
      <c r="M153" s="2" t="inlineStr">
        <is>
          <t>P060432</t>
        </is>
      </c>
      <c r="N153" s="2" t="inlineStr">
        <is>
          <t>Fat Bastard</t>
        </is>
      </c>
      <c r="O153" s="6" t="inlineStr">
        <is>
          <t>— retest assay not yet on file —</t>
        </is>
      </c>
      <c r="P153" s="6" t="inlineStr">
        <is>
          <t>—</t>
        </is>
      </c>
      <c r="Q153" s="2" t="inlineStr">
        <is>
          <t>—</t>
        </is>
      </c>
      <c r="R153" s="2" t="inlineStr">
        <is>
          <t>CoQ reissue (assigned on issue)</t>
        </is>
      </c>
      <c r="S153" s="2" t="inlineStr">
        <is>
          <t>P060432|R</t>
        </is>
      </c>
      <c r="T153" s="9" t="inlineStr">
        <is>
          <t>not yet issuable — pending — not yet sampled · issued on the first working day 7 days after the latest retest certificate, once the in-house iCoA exists</t>
        </is>
      </c>
    </row>
    <row r="154">
      <c r="A154" s="2">
        <f>IF(C154="yes",COUNT(A$1:A153)+1,"")</f>
        <v/>
      </c>
      <c r="B154" s="3">
        <f>IF(A154&lt;&gt;"","CoQ-PP_26-"&amp;TEXT(A154,"000"),"— at issue —")</f>
        <v/>
      </c>
      <c r="C154" s="6" t="inlineStr">
        <is>
          <t>no</t>
        </is>
      </c>
      <c r="D154" s="5">
        <f>IF(A154="","",MAX(E154,IF(ISNUMBER(I154),I154,0),IFERROR(IF(ISNUMBER(INDEX('iCoA Register'!$F:$F,MATCH(S154,'iCoA Register'!$P:$P,0))),(INDEX('iCoA Register'!$F:$F,MATCH(S154,'iCoA Register'!$P:$P,0)))+CHOOSE(WEEKDAY(INDEX('iCoA Register'!$F:$F,MATCH(S154,'iCoA Register'!$P:$P,0)),2),0,0,0,0,0,2,1),0),0)))</f>
        <v/>
      </c>
      <c r="E154" s="5">
        <f>IF(ISNUMBER(F154),MAX(DATE(2026,5,27),(F154+7)+CHOOSE(WEEKDAY(F154+7,2),0,0,0,0,0,2,1)),"at retest sampling")</f>
        <v/>
      </c>
      <c r="F154" s="5" t="inlineStr">
        <is>
          <t>— not yet sampled —</t>
        </is>
      </c>
      <c r="G154" s="2" t="inlineStr">
        <is>
          <t>—</t>
        </is>
      </c>
      <c r="H154" s="2">
        <f>IFERROR(INDEX('iCoA Register'!$B:$B,MATCH("P060392|R",'iCoA Register'!$P:$P,0)),"—")</f>
        <v/>
      </c>
      <c r="I154" s="5">
        <f>IFERROR(INDEX('iCoA Register'!$D:$D,MATCH("P060392|R",'iCoA Register'!$P:$P,0)),"")</f>
        <v/>
      </c>
      <c r="J154" s="2" t="inlineStr">
        <is>
          <t>post-SOP</t>
        </is>
      </c>
      <c r="K154" s="2" t="inlineStr">
        <is>
          <t>retest — not yet sampled</t>
        </is>
      </c>
      <c r="L154" s="3" t="inlineStr">
        <is>
          <t>FB012603V</t>
        </is>
      </c>
      <c r="M154" s="2" t="inlineStr">
        <is>
          <t>P060392</t>
        </is>
      </c>
      <c r="N154" s="2" t="inlineStr">
        <is>
          <t>Fat Bastard</t>
        </is>
      </c>
      <c r="O154" s="6" t="inlineStr">
        <is>
          <t>— retest assay not yet on file —</t>
        </is>
      </c>
      <c r="P154" s="6" t="inlineStr">
        <is>
          <t>—</t>
        </is>
      </c>
      <c r="Q154" s="2" t="inlineStr">
        <is>
          <t>—</t>
        </is>
      </c>
      <c r="R154" s="2" t="inlineStr">
        <is>
          <t>CoQ reissue (assigned on issue)</t>
        </is>
      </c>
      <c r="S154" s="2" t="inlineStr">
        <is>
          <t>P060392|R</t>
        </is>
      </c>
      <c r="T154" s="9" t="inlineStr">
        <is>
          <t>not yet issuable — pending — not yet sampled · issued on the first working day 7 days after the latest retest certificate, once the in-house iCoA exists</t>
        </is>
      </c>
    </row>
    <row r="155">
      <c r="A155" s="2">
        <f>IF(C155="yes",COUNT(A$1:A154)+1,"")</f>
        <v/>
      </c>
      <c r="B155" s="3">
        <f>IF(A155&lt;&gt;"","CoQ-PP_26-"&amp;TEXT(A155,"000"),"— at issue —")</f>
        <v/>
      </c>
      <c r="C155" s="6" t="inlineStr">
        <is>
          <t>no</t>
        </is>
      </c>
      <c r="D155" s="5">
        <f>IF(A155="","",MAX(E155,IF(ISNUMBER(I155),I155,0),IFERROR(IF(ISNUMBER(INDEX('iCoA Register'!$F:$F,MATCH(S155,'iCoA Register'!$P:$P,0))),(INDEX('iCoA Register'!$F:$F,MATCH(S155,'iCoA Register'!$P:$P,0)))+CHOOSE(WEEKDAY(INDEX('iCoA Register'!$F:$F,MATCH(S155,'iCoA Register'!$P:$P,0)),2),0,0,0,0,0,2,1),0),0)))</f>
        <v/>
      </c>
      <c r="E155" s="5">
        <f>IF(ISNUMBER(F155),MAX(DATE(2026,5,27),(F155+7)+CHOOSE(WEEKDAY(F155+7,2),0,0,0,0,0,2,1)),"at retest sampling")</f>
        <v/>
      </c>
      <c r="F155" s="5" t="inlineStr">
        <is>
          <t>— not yet sampled —</t>
        </is>
      </c>
      <c r="G155" s="2" t="inlineStr">
        <is>
          <t>—</t>
        </is>
      </c>
      <c r="H155" s="2">
        <f>IFERROR(INDEX('iCoA Register'!$B:$B,MATCH("P060482|R",'iCoA Register'!$P:$P,0)),"—")</f>
        <v/>
      </c>
      <c r="I155" s="5">
        <f>IFERROR(INDEX('iCoA Register'!$D:$D,MATCH("P060482|R",'iCoA Register'!$P:$P,0)),"")</f>
        <v/>
      </c>
      <c r="J155" s="2" t="inlineStr">
        <is>
          <t>post-SOP</t>
        </is>
      </c>
      <c r="K155" s="2" t="inlineStr">
        <is>
          <t>retest — not yet sampled</t>
        </is>
      </c>
      <c r="L155" s="3" t="inlineStr">
        <is>
          <t>JD022601</t>
        </is>
      </c>
      <c r="M155" s="2" t="inlineStr">
        <is>
          <t>P060482</t>
        </is>
      </c>
      <c r="N155" s="2" t="inlineStr">
        <is>
          <t>JellyDonutz</t>
        </is>
      </c>
      <c r="O155" s="6" t="inlineStr">
        <is>
          <t>— retest assay not yet on file —</t>
        </is>
      </c>
      <c r="P155" s="6" t="inlineStr">
        <is>
          <t>—</t>
        </is>
      </c>
      <c r="Q155" s="2" t="inlineStr">
        <is>
          <t>—</t>
        </is>
      </c>
      <c r="R155" s="2" t="inlineStr">
        <is>
          <t>CoQ reissue (assigned on issue)</t>
        </is>
      </c>
      <c r="S155" s="2" t="inlineStr">
        <is>
          <t>P060482|R</t>
        </is>
      </c>
      <c r="T155" s="9" t="inlineStr">
        <is>
          <t>not yet issuable — pending — not yet sampled · issued on the first working day 7 days after the latest retest certificate, once the in-house iCoA exists</t>
        </is>
      </c>
    </row>
    <row r="156">
      <c r="A156" s="2">
        <f>IF(C156="yes",COUNT(A$1:A155)+1,"")</f>
        <v/>
      </c>
      <c r="B156" s="3">
        <f>IF(A156&lt;&gt;"","CoQ-PP_26-"&amp;TEXT(A156,"000"),"— at issue —")</f>
        <v/>
      </c>
      <c r="C156" s="6" t="inlineStr">
        <is>
          <t>no</t>
        </is>
      </c>
      <c r="D156" s="5">
        <f>IF(A156="","",MAX(E156,IF(ISNUMBER(I156),I156,0),IFERROR(IF(ISNUMBER(INDEX('iCoA Register'!$F:$F,MATCH(S156,'iCoA Register'!$P:$P,0))),(INDEX('iCoA Register'!$F:$F,MATCH(S156,'iCoA Register'!$P:$P,0)))+CHOOSE(WEEKDAY(INDEX('iCoA Register'!$F:$F,MATCH(S156,'iCoA Register'!$P:$P,0)),2),0,0,0,0,0,2,1),0),0)))</f>
        <v/>
      </c>
      <c r="E156" s="5">
        <f>IF(ISNUMBER(F156),MAX(DATE(2026,5,27),(F156+7)+CHOOSE(WEEKDAY(F156+7,2),0,0,0,0,0,2,1)),"at retest sampling")</f>
        <v/>
      </c>
      <c r="F156" s="5" t="inlineStr">
        <is>
          <t>— not yet sampled —</t>
        </is>
      </c>
      <c r="G156" s="2" t="inlineStr">
        <is>
          <t>—</t>
        </is>
      </c>
      <c r="H156" s="2">
        <f>IFERROR(INDEX('iCoA Register'!$B:$B,MATCH("P060442|R",'iCoA Register'!$P:$P,0)),"—")</f>
        <v/>
      </c>
      <c r="I156" s="5">
        <f>IFERROR(INDEX('iCoA Register'!$D:$D,MATCH("P060442|R",'iCoA Register'!$P:$P,0)),"")</f>
        <v/>
      </c>
      <c r="J156" s="2" t="inlineStr">
        <is>
          <t>post-SOP</t>
        </is>
      </c>
      <c r="K156" s="2" t="inlineStr">
        <is>
          <t>retest — not yet sampled</t>
        </is>
      </c>
      <c r="L156" s="3" t="inlineStr">
        <is>
          <t>SCR022601</t>
        </is>
      </c>
      <c r="M156" s="2" t="inlineStr">
        <is>
          <t>P060442</t>
        </is>
      </c>
      <c r="N156" s="2" t="inlineStr">
        <is>
          <t>Scrambler</t>
        </is>
      </c>
      <c r="O156" s="6" t="inlineStr">
        <is>
          <t>— retest assay not yet on file —</t>
        </is>
      </c>
      <c r="P156" s="6" t="inlineStr">
        <is>
          <t>—</t>
        </is>
      </c>
      <c r="Q156" s="2" t="inlineStr">
        <is>
          <t>—</t>
        </is>
      </c>
      <c r="R156" s="2" t="inlineStr">
        <is>
          <t>CoQ reissue (assigned on issue)</t>
        </is>
      </c>
      <c r="S156" s="2" t="inlineStr">
        <is>
          <t>P060442|R</t>
        </is>
      </c>
      <c r="T156" s="9" t="inlineStr">
        <is>
          <t>not yet issuable — pending — not yet sampled · issued on the first working day 7 days after the latest retest certificate, once the in-house iCoA exists</t>
        </is>
      </c>
    </row>
    <row r="157">
      <c r="A157" s="2">
        <f>IF(C157="yes",COUNT(A$1:A156)+1,"")</f>
        <v/>
      </c>
      <c r="B157" s="3">
        <f>IF(A157&lt;&gt;"","CoQ-PP_26-"&amp;TEXT(A157,"000"),"— at issue —")</f>
        <v/>
      </c>
      <c r="C157" s="6" t="inlineStr">
        <is>
          <t>no</t>
        </is>
      </c>
      <c r="D157" s="5">
        <f>IF(A157="","",MAX(E157,IF(ISNUMBER(I157),I157,0),IFERROR(IF(ISNUMBER(INDEX('iCoA Register'!$F:$F,MATCH(S157,'iCoA Register'!$P:$P,0))),(INDEX('iCoA Register'!$F:$F,MATCH(S157,'iCoA Register'!$P:$P,0)))+CHOOSE(WEEKDAY(INDEX('iCoA Register'!$F:$F,MATCH(S157,'iCoA Register'!$P:$P,0)),2),0,0,0,0,0,2,1),0),0)))</f>
        <v/>
      </c>
      <c r="E157" s="5">
        <f>IF(ISNUMBER(F157),MAX(DATE(2026,5,27),(F157+7)+CHOOSE(WEEKDAY(F157+7,2),0,0,0,0,0,2,1)),"at retest sampling")</f>
        <v/>
      </c>
      <c r="F157" s="5" t="inlineStr">
        <is>
          <t>— not yet sampled —</t>
        </is>
      </c>
      <c r="G157" s="2" t="inlineStr">
        <is>
          <t>—</t>
        </is>
      </c>
      <c r="H157" s="2">
        <f>IFERROR(INDEX('iCoA Register'!$B:$B,MATCH("P060452|R",'iCoA Register'!$P:$P,0)),"—")</f>
        <v/>
      </c>
      <c r="I157" s="5">
        <f>IFERROR(INDEX('iCoA Register'!$D:$D,MATCH("P060452|R",'iCoA Register'!$P:$P,0)),"")</f>
        <v/>
      </c>
      <c r="J157" s="2" t="inlineStr">
        <is>
          <t>post-SOP</t>
        </is>
      </c>
      <c r="K157" s="2" t="inlineStr">
        <is>
          <t>retest — not yet sampled</t>
        </is>
      </c>
      <c r="L157" s="3" t="inlineStr">
        <is>
          <t>FB032601</t>
        </is>
      </c>
      <c r="M157" s="2" t="inlineStr">
        <is>
          <t>P060452</t>
        </is>
      </c>
      <c r="N157" s="2" t="inlineStr">
        <is>
          <t>FatBastard</t>
        </is>
      </c>
      <c r="O157" s="6" t="inlineStr">
        <is>
          <t>— retest assay not yet on file —</t>
        </is>
      </c>
      <c r="P157" s="6" t="inlineStr">
        <is>
          <t>—</t>
        </is>
      </c>
      <c r="Q157" s="2" t="inlineStr">
        <is>
          <t>—</t>
        </is>
      </c>
      <c r="R157" s="2" t="inlineStr">
        <is>
          <t>CoQ reissue (assigned on issue)</t>
        </is>
      </c>
      <c r="S157" s="2" t="inlineStr">
        <is>
          <t>P060452|R</t>
        </is>
      </c>
      <c r="T157" s="9" t="inlineStr">
        <is>
          <t>not yet issuable — pending — not yet sampled · issued on the first working day 7 days after the latest retest certificate, once the in-house iCoA exists</t>
        </is>
      </c>
    </row>
    <row r="158">
      <c r="A158" s="2">
        <f>IF(C158="yes",COUNT(A$1:A157)+1,"")</f>
        <v/>
      </c>
      <c r="B158" s="3">
        <f>IF(A158&lt;&gt;"","CoQ-PP_26-"&amp;TEXT(A158,"000"),"— at issue —")</f>
        <v/>
      </c>
      <c r="C158" s="6" t="inlineStr">
        <is>
          <t>no</t>
        </is>
      </c>
      <c r="D158" s="5">
        <f>IF(A158="","",MAX(E158,IF(ISNUMBER(I158),I158,0),IFERROR(IF(ISNUMBER(INDEX('iCoA Register'!$F:$F,MATCH(S158,'iCoA Register'!$P:$P,0))),(INDEX('iCoA Register'!$F:$F,MATCH(S158,'iCoA Register'!$P:$P,0)))+CHOOSE(WEEKDAY(INDEX('iCoA Register'!$F:$F,MATCH(S158,'iCoA Register'!$P:$P,0)),2),0,0,0,0,0,2,1),0),0)))</f>
        <v/>
      </c>
      <c r="E158" s="5">
        <f>IF(ISNUMBER(F158),MAX(DATE(2026,5,27),(F158+7)+CHOOSE(WEEKDAY(F158+7,2),0,0,0,0,0,2,1)),"at retest sampling")</f>
        <v/>
      </c>
      <c r="F158" s="5" t="inlineStr">
        <is>
          <t>— not yet sampled —</t>
        </is>
      </c>
      <c r="G158" s="2" t="inlineStr">
        <is>
          <t>—</t>
        </is>
      </c>
      <c r="H158" s="2">
        <f>IFERROR(INDEX('iCoA Register'!$B:$B,MATCH("P060462|R",'iCoA Register'!$P:$P,0)),"—")</f>
        <v/>
      </c>
      <c r="I158" s="5">
        <f>IFERROR(INDEX('iCoA Register'!$D:$D,MATCH("P060462|R",'iCoA Register'!$P:$P,0)),"")</f>
        <v/>
      </c>
      <c r="J158" s="2" t="inlineStr">
        <is>
          <t>post-SOP</t>
        </is>
      </c>
      <c r="K158" s="2" t="inlineStr">
        <is>
          <t>retest — not yet sampled</t>
        </is>
      </c>
      <c r="L158" s="3" t="inlineStr">
        <is>
          <t>GG032601</t>
        </is>
      </c>
      <c r="M158" s="2" t="inlineStr">
        <is>
          <t>P060462</t>
        </is>
      </c>
      <c r="N158" s="2" t="inlineStr">
        <is>
          <t>GorillaGlue</t>
        </is>
      </c>
      <c r="O158" s="6" t="inlineStr">
        <is>
          <t>— retest assay not yet on file —</t>
        </is>
      </c>
      <c r="P158" s="6" t="inlineStr">
        <is>
          <t>—</t>
        </is>
      </c>
      <c r="Q158" s="2" t="inlineStr">
        <is>
          <t>—</t>
        </is>
      </c>
      <c r="R158" s="2" t="inlineStr">
        <is>
          <t>CoQ reissue (assigned on issue)</t>
        </is>
      </c>
      <c r="S158" s="2" t="inlineStr">
        <is>
          <t>P060462|R</t>
        </is>
      </c>
      <c r="T158" s="9" t="inlineStr">
        <is>
          <t>not yet issuable — pending — not yet sampled · issued on the first working day 7 days after the latest retest certificate, once the in-house iCoA exists</t>
        </is>
      </c>
    </row>
    <row r="160" ht="150" customHeight="1">
      <c r="A160" s="10"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P060272: post-SOP CoQ rule date 18.05.2026 precedes the legacy series day 27.05.2026 — held to it, so the legacy CoQs keep 001 onward | P060322: post-SOP CoQ rule date 18.05.2026 precedes the legacy series day 27.05.2026 — held to it, so the legacy CoQs keep 001 onward | P060292: post-SOP CoQ rule date 18.05.2026 precedes the legacy series day 27.05.2026 — held to it, so the legacy CoQs keep 001 onward | P060302: post-SOP CoQ rule date 18.05.2026 precedes the legacy series day 27.05.2026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27.05.2026 — held to it, so the legacy CoQs keep 001 onward | P060312: post-SOP CoQ rule date 18.05.2026 precedes the legacy series day 27.05.2026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27.05.2026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28.05.2026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01.06.2026 | P060382: no initial certificate for #3, #4, #5, #6, #8, #10 — only the retest 197-21-K-26 of 07.08.2026 / 197-21-M-26 of 10.08.2026; the post-SOP CoQ cannot cite it (Head of QC to rule: report as not tested at initial testing, or wait for the reissue) | P060282: post-SOP CoQ rule date 18.05.2026 precedes the legacy series day 27.05.2026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t>
        </is>
      </c>
    </row>
  </sheetData>
  <mergeCells count="1">
    <mergeCell ref="A160:T160"/>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8"/>
  <sheetViews>
    <sheetView workbookViewId="0">
      <selection activeCell="A1" sqref="A1"/>
    </sheetView>
  </sheetViews>
  <sheetFormatPr baseColWidth="8" defaultRowHeight="15"/>
  <cols>
    <col width="6" customWidth="1" min="1" max="1"/>
    <col width="18" customWidth="1" min="2" max="2"/>
    <col width="12" customWidth="1" min="3" max="3"/>
    <col width="13" customWidth="1" min="4" max="4"/>
    <col width="13" customWidth="1" min="5" max="5"/>
    <col width="14" customWidth="1" min="6" max="6"/>
    <col width="14" customWidth="1" min="7" max="7"/>
    <col width="20" customWidth="1" min="8" max="8"/>
    <col width="16" customWidth="1" min="9" max="9"/>
    <col width="60" customWidth="1" min="10" max="10"/>
  </cols>
  <sheetData>
    <row r="1" ht="22" customHeight="1">
      <c r="A1" s="1" t="inlineStr">
        <is>
          <t>Seq</t>
        </is>
      </c>
      <c r="B1" s="1" t="inlineStr">
        <is>
          <t>Batch (as listed)</t>
        </is>
      </c>
      <c r="C1" s="1" t="inlineStr">
        <is>
          <t>P Batch</t>
        </is>
      </c>
      <c r="D1" s="1" t="inlineStr">
        <is>
          <t>Harvest from</t>
        </is>
      </c>
      <c r="E1" s="1" t="inlineStr">
        <is>
          <t>Harvest to</t>
        </is>
      </c>
      <c r="F1" s="1" t="inlineStr">
        <is>
          <t>Packaging from</t>
        </is>
      </c>
      <c r="G1" s="1" t="inlineStr">
        <is>
          <t>Packaging to</t>
        </is>
      </c>
      <c r="H1" s="1" t="inlineStr">
        <is>
          <t>iCoA basis (first day of packaging)</t>
        </is>
      </c>
      <c r="I1" s="1" t="inlineStr">
        <is>
          <t>Tracker lot</t>
        </is>
      </c>
      <c r="J1" s="1" t="inlineStr">
        <is>
          <t>Note</t>
        </is>
      </c>
    </row>
    <row r="2">
      <c r="A2" s="2" t="n">
        <v>1</v>
      </c>
      <c r="B2" s="3" t="inlineStr">
        <is>
          <t>CJ1024</t>
        </is>
      </c>
      <c r="C2" s="3" t="inlineStr"/>
      <c r="D2" s="5" t="n">
        <v>45677</v>
      </c>
      <c r="E2" s="5" t="n">
        <v>45677</v>
      </c>
      <c r="F2" s="5" t="n">
        <v>45719</v>
      </c>
      <c r="G2" s="5" t="n">
        <v>45719</v>
      </c>
      <c r="H2" s="5">
        <f>F2</f>
        <v/>
      </c>
      <c r="I2" s="2" t="inlineStr">
        <is>
          <t>CJ1024</t>
        </is>
      </c>
      <c r="J2" s="8" t="inlineStr">
        <is>
          <t>listed as 'CJ1024 - R&amp;D'</t>
        </is>
      </c>
    </row>
    <row r="3">
      <c r="A3" s="2" t="n">
        <v>2</v>
      </c>
      <c r="B3" s="3" t="inlineStr">
        <is>
          <t>GG1024</t>
        </is>
      </c>
      <c r="C3" s="3" t="inlineStr"/>
      <c r="D3" s="5" t="n">
        <v>45677</v>
      </c>
      <c r="E3" s="5" t="n">
        <v>45677</v>
      </c>
      <c r="F3" s="5" t="n">
        <v>45727</v>
      </c>
      <c r="G3" s="5" t="n">
        <v>45727</v>
      </c>
      <c r="H3" s="5">
        <f>F3</f>
        <v/>
      </c>
      <c r="I3" s="2" t="inlineStr">
        <is>
          <t>GG1024</t>
        </is>
      </c>
      <c r="J3" s="8" t="inlineStr">
        <is>
          <t>listed as 'GG1024- R&amp;D'</t>
        </is>
      </c>
    </row>
    <row r="4">
      <c r="A4" s="2" t="n">
        <v>3</v>
      </c>
      <c r="B4" s="3" t="inlineStr">
        <is>
          <t>OPM1024</t>
        </is>
      </c>
      <c r="C4" s="3" t="inlineStr"/>
      <c r="D4" s="5" t="n">
        <v>45678</v>
      </c>
      <c r="E4" s="5" t="n">
        <v>45678</v>
      </c>
      <c r="F4" s="5" t="n">
        <v>45771</v>
      </c>
      <c r="G4" s="5" t="n">
        <v>45772</v>
      </c>
      <c r="H4" s="5">
        <f>F4</f>
        <v/>
      </c>
      <c r="I4" s="2" t="inlineStr">
        <is>
          <t>OPM1024</t>
        </is>
      </c>
      <c r="J4" s="8" t="inlineStr">
        <is>
          <t>listed as 'OPM1024- R&amp;D'</t>
        </is>
      </c>
    </row>
    <row r="5">
      <c r="A5" s="2" t="n">
        <v>4</v>
      </c>
      <c r="B5" s="3" t="inlineStr">
        <is>
          <t>BG1024</t>
        </is>
      </c>
      <c r="C5" s="3" t="inlineStr"/>
      <c r="D5" s="5" t="n">
        <v>45678</v>
      </c>
      <c r="E5" s="5" t="n">
        <v>45678</v>
      </c>
      <c r="F5" s="5" t="n">
        <v>45723</v>
      </c>
      <c r="G5" s="5" t="n">
        <v>45723</v>
      </c>
      <c r="H5" s="5">
        <f>F5</f>
        <v/>
      </c>
      <c r="I5" s="2" t="inlineStr">
        <is>
          <t>BG1024</t>
        </is>
      </c>
      <c r="J5" s="8" t="inlineStr">
        <is>
          <t>listed as 'BG1024- R&amp;D'</t>
        </is>
      </c>
    </row>
    <row r="6">
      <c r="A6" s="2" t="n">
        <v>5</v>
      </c>
      <c r="B6" s="3" t="inlineStr">
        <is>
          <t>BSS1024</t>
        </is>
      </c>
      <c r="C6" s="3" t="inlineStr"/>
      <c r="D6" s="5" t="n">
        <v>45679</v>
      </c>
      <c r="E6" s="5" t="n">
        <v>45679</v>
      </c>
      <c r="F6" s="5" t="n">
        <v>45720</v>
      </c>
      <c r="G6" s="5" t="n">
        <v>45720</v>
      </c>
      <c r="H6" s="5">
        <f>F6</f>
        <v/>
      </c>
      <c r="I6" s="2" t="inlineStr">
        <is>
          <t>BSS1024</t>
        </is>
      </c>
      <c r="J6" s="8" t="inlineStr">
        <is>
          <t>listed as 'BSS1024- R&amp;D'</t>
        </is>
      </c>
    </row>
    <row r="7">
      <c r="A7" s="2" t="n">
        <v>6</v>
      </c>
      <c r="B7" s="3" t="inlineStr">
        <is>
          <t>HPA1024</t>
        </is>
      </c>
      <c r="C7" s="3" t="inlineStr"/>
      <c r="D7" s="5" t="n">
        <v>45679</v>
      </c>
      <c r="E7" s="5" t="n">
        <v>45679</v>
      </c>
      <c r="F7" s="5" t="n">
        <v>45758</v>
      </c>
      <c r="G7" s="5" t="n">
        <v>45758</v>
      </c>
      <c r="H7" s="5">
        <f>F7</f>
        <v/>
      </c>
      <c r="I7" s="2" t="inlineStr">
        <is>
          <t>HPA1024</t>
        </is>
      </c>
      <c r="J7" s="8" t="inlineStr">
        <is>
          <t>listed as 'HPA1024- R&amp;D'</t>
        </is>
      </c>
    </row>
    <row r="8">
      <c r="A8" s="2" t="n">
        <v>7</v>
      </c>
      <c r="B8" s="3" t="inlineStr">
        <is>
          <t>GG1024_01</t>
        </is>
      </c>
      <c r="C8" s="3" t="inlineStr">
        <is>
          <t>P050092</t>
        </is>
      </c>
      <c r="D8" s="5" t="n">
        <v>45733</v>
      </c>
      <c r="E8" s="5" t="n">
        <v>45734</v>
      </c>
      <c r="F8" s="5" t="n">
        <v>45869</v>
      </c>
      <c r="G8" s="5" t="n">
        <v>45874</v>
      </c>
      <c r="H8" s="5">
        <f>F8</f>
        <v/>
      </c>
      <c r="I8" s="2" t="inlineStr">
        <is>
          <t>GG1024_01</t>
        </is>
      </c>
      <c r="J8" s="8" t="inlineStr">
        <is>
          <t>packaging: year 2025 inferred (not printed)</t>
        </is>
      </c>
    </row>
    <row r="9">
      <c r="A9" s="2" t="n">
        <v>8</v>
      </c>
      <c r="B9" s="3" t="inlineStr">
        <is>
          <t>GP0824_01</t>
        </is>
      </c>
      <c r="C9" s="3" t="inlineStr">
        <is>
          <t>P050102</t>
        </is>
      </c>
      <c r="D9" s="5" t="n">
        <v>45736</v>
      </c>
      <c r="E9" s="5" t="n">
        <v>45737</v>
      </c>
      <c r="F9" s="5" t="n">
        <v>45874</v>
      </c>
      <c r="G9" s="5" t="n">
        <v>45876</v>
      </c>
      <c r="H9" s="5">
        <f>F9</f>
        <v/>
      </c>
      <c r="I9" s="2" t="inlineStr">
        <is>
          <t>GP0824_01</t>
        </is>
      </c>
      <c r="J9" s="8" t="inlineStr">
        <is>
          <t>packaging: year 2025 inferred (not printed)</t>
        </is>
      </c>
    </row>
    <row r="10">
      <c r="A10" s="2" t="n">
        <v>9</v>
      </c>
      <c r="B10" s="3" t="inlineStr">
        <is>
          <t>OMP1024_01</t>
        </is>
      </c>
      <c r="C10" s="3" t="inlineStr">
        <is>
          <t>P050042</t>
        </is>
      </c>
      <c r="D10" s="5" t="n">
        <v>45742</v>
      </c>
      <c r="E10" s="5" t="n">
        <v>45743</v>
      </c>
      <c r="F10" s="5" t="n">
        <v>45828</v>
      </c>
      <c r="G10" s="5" t="n">
        <v>45828</v>
      </c>
      <c r="H10" s="5">
        <f>F10</f>
        <v/>
      </c>
      <c r="I10" s="2" t="inlineStr">
        <is>
          <t>OMP1024_01</t>
        </is>
      </c>
      <c r="J10" s="8" t="inlineStr"/>
    </row>
    <row r="11">
      <c r="A11" s="2" t="n">
        <v>10</v>
      </c>
      <c r="B11" s="3" t="inlineStr">
        <is>
          <t>MB0824_04</t>
        </is>
      </c>
      <c r="C11" s="3" t="inlineStr">
        <is>
          <t>P050032</t>
        </is>
      </c>
      <c r="D11" s="5" t="n">
        <v>45749</v>
      </c>
      <c r="E11" s="5" t="n">
        <v>45750</v>
      </c>
      <c r="F11" s="5" t="n">
        <v>45824</v>
      </c>
      <c r="G11" s="5" t="n">
        <v>45827</v>
      </c>
      <c r="H11" s="5">
        <f>F11</f>
        <v/>
      </c>
      <c r="I11" s="2" t="inlineStr">
        <is>
          <t>MB0824_04</t>
        </is>
      </c>
      <c r="J11" s="8" t="inlineStr"/>
    </row>
    <row r="12">
      <c r="A12" s="2" t="n">
        <v>11</v>
      </c>
      <c r="B12" s="3" t="inlineStr">
        <is>
          <t>GG1024_02</t>
        </is>
      </c>
      <c r="C12" s="3" t="inlineStr">
        <is>
          <t>P050012</t>
        </is>
      </c>
      <c r="D12" s="5" t="n">
        <v>45761</v>
      </c>
      <c r="E12" s="5" t="n">
        <v>45762</v>
      </c>
      <c r="F12" s="5" t="n">
        <v>45819</v>
      </c>
      <c r="G12" s="5" t="n">
        <v>45824</v>
      </c>
      <c r="H12" s="5">
        <f>F12</f>
        <v/>
      </c>
      <c r="I12" s="2" t="inlineStr">
        <is>
          <t>GG1024_02</t>
        </is>
      </c>
      <c r="J12" s="8" t="inlineStr"/>
    </row>
    <row r="13">
      <c r="A13" s="2" t="n">
        <v>12</v>
      </c>
      <c r="B13" s="3" t="inlineStr">
        <is>
          <t>GP0824_02</t>
        </is>
      </c>
      <c r="C13" s="3" t="inlineStr">
        <is>
          <t>P050022</t>
        </is>
      </c>
      <c r="D13" s="5" t="n">
        <v>45769</v>
      </c>
      <c r="E13" s="5" t="n">
        <v>45770</v>
      </c>
      <c r="F13" s="5" t="n">
        <v>45811</v>
      </c>
      <c r="G13" s="5" t="n">
        <v>45819</v>
      </c>
      <c r="H13" s="5">
        <f>F13</f>
        <v/>
      </c>
      <c r="I13" s="2" t="inlineStr">
        <is>
          <t>GP0824_02</t>
        </is>
      </c>
      <c r="J13" s="8" t="inlineStr"/>
    </row>
    <row r="14">
      <c r="A14" s="2" t="n">
        <v>13</v>
      </c>
      <c r="B14" s="3" t="inlineStr">
        <is>
          <t>HPA1024_01</t>
        </is>
      </c>
      <c r="C14" s="3" t="inlineStr">
        <is>
          <t>P050052</t>
        </is>
      </c>
      <c r="D14" s="5" t="n">
        <v>45804</v>
      </c>
      <c r="E14" s="5" t="n">
        <v>45805</v>
      </c>
      <c r="F14" s="5" t="n">
        <v>45835</v>
      </c>
      <c r="G14" s="5" t="n">
        <v>45842</v>
      </c>
      <c r="H14" s="5">
        <f>F14</f>
        <v/>
      </c>
      <c r="I14" s="2" t="inlineStr">
        <is>
          <t>HPA1024_01</t>
        </is>
      </c>
      <c r="J14" s="8" t="inlineStr"/>
    </row>
    <row r="15">
      <c r="A15" s="2" t="n">
        <v>14</v>
      </c>
      <c r="B15" s="3" t="inlineStr">
        <is>
          <t>OPM1024_02</t>
        </is>
      </c>
      <c r="C15" s="3" t="inlineStr">
        <is>
          <t>P050062</t>
        </is>
      </c>
      <c r="D15" s="5" t="n">
        <v>45806</v>
      </c>
      <c r="E15" s="5" t="n">
        <v>45807</v>
      </c>
      <c r="F15" s="5" t="n">
        <v>45842</v>
      </c>
      <c r="G15" s="5" t="n">
        <v>45848</v>
      </c>
      <c r="H15" s="5">
        <f>F15</f>
        <v/>
      </c>
      <c r="I15" s="2" t="inlineStr">
        <is>
          <t>OPM1024_02</t>
        </is>
      </c>
      <c r="J15" s="8" t="inlineStr"/>
    </row>
    <row r="16">
      <c r="A16" s="2" t="n">
        <v>15</v>
      </c>
      <c r="B16" s="3" t="inlineStr">
        <is>
          <t>BSS1024_01/1</t>
        </is>
      </c>
      <c r="C16" s="3" t="inlineStr">
        <is>
          <t>P050122</t>
        </is>
      </c>
      <c r="D16" s="5" t="n">
        <v>45812</v>
      </c>
      <c r="E16" s="5" t="n">
        <v>45813</v>
      </c>
      <c r="F16" s="5" t="n">
        <v>45901</v>
      </c>
      <c r="G16" s="5" t="n">
        <v>45909</v>
      </c>
      <c r="H16" s="5">
        <f>F16</f>
        <v/>
      </c>
      <c r="I16" s="2" t="inlineStr">
        <is>
          <t>BSS1024_01/1</t>
        </is>
      </c>
      <c r="J16" s="8" t="inlineStr">
        <is>
          <t>packaging: year 2025 inferred (not printed)</t>
        </is>
      </c>
    </row>
    <row r="17">
      <c r="A17" s="2" t="n">
        <v>16</v>
      </c>
      <c r="B17" s="3" t="inlineStr">
        <is>
          <t>BSS1024_01/2</t>
        </is>
      </c>
      <c r="C17" s="3" t="inlineStr">
        <is>
          <t>P050142</t>
        </is>
      </c>
      <c r="D17" s="11" t="inlineStr">
        <is>
          <t>— not given —</t>
        </is>
      </c>
      <c r="E17" s="11" t="inlineStr">
        <is>
          <t>— not given —</t>
        </is>
      </c>
      <c r="F17" s="5" t="n">
        <v>45930</v>
      </c>
      <c r="G17" s="5" t="n">
        <v>45930</v>
      </c>
      <c r="H17" s="5">
        <f>F17</f>
        <v/>
      </c>
      <c r="I17" s="2" t="inlineStr">
        <is>
          <t>P050142</t>
        </is>
      </c>
      <c r="J17" s="8" t="inlineStr">
        <is>
          <t>harvest: no date given; packaging: year 2025 inferred (not printed)</t>
        </is>
      </c>
    </row>
    <row r="18">
      <c r="A18" s="2" t="n">
        <v>17</v>
      </c>
      <c r="B18" s="3" t="inlineStr">
        <is>
          <t>GP0824_03</t>
        </is>
      </c>
      <c r="C18" s="3" t="inlineStr">
        <is>
          <t>P050072</t>
        </is>
      </c>
      <c r="D18" s="5" t="n">
        <v>45817</v>
      </c>
      <c r="E18" s="5" t="n">
        <v>45818</v>
      </c>
      <c r="F18" s="5" t="n">
        <v>45852</v>
      </c>
      <c r="G18" s="5" t="n">
        <v>45855</v>
      </c>
      <c r="H18" s="5">
        <f>F18</f>
        <v/>
      </c>
      <c r="I18" s="2" t="inlineStr">
        <is>
          <t>GP0824_03</t>
        </is>
      </c>
      <c r="J18" s="8" t="inlineStr">
        <is>
          <t>packaging: year 2025 inferred (not printed)</t>
        </is>
      </c>
    </row>
    <row r="19">
      <c r="A19" s="2" t="n">
        <v>18</v>
      </c>
      <c r="B19" s="3" t="inlineStr">
        <is>
          <t>OPM1024_03</t>
        </is>
      </c>
      <c r="C19" s="3" t="inlineStr">
        <is>
          <t>P050082</t>
        </is>
      </c>
      <c r="D19" s="5" t="n">
        <v>45839</v>
      </c>
      <c r="E19" s="5" t="n">
        <v>45840</v>
      </c>
      <c r="F19" s="5" t="n">
        <v>45860</v>
      </c>
      <c r="G19" s="5" t="n">
        <v>45868</v>
      </c>
      <c r="H19" s="5">
        <f>F19</f>
        <v/>
      </c>
      <c r="I19" s="2" t="inlineStr">
        <is>
          <t>OPM1024_03</t>
        </is>
      </c>
      <c r="J19" s="8" t="inlineStr"/>
    </row>
    <row r="20">
      <c r="A20" s="2" t="n">
        <v>19</v>
      </c>
      <c r="B20" s="3" t="inlineStr">
        <is>
          <t>MB0824_05</t>
        </is>
      </c>
      <c r="C20" s="3" t="inlineStr">
        <is>
          <t>P050112</t>
        </is>
      </c>
      <c r="D20" s="5" t="n">
        <v>45846</v>
      </c>
      <c r="E20" s="5" t="n">
        <v>45847</v>
      </c>
      <c r="F20" s="5" t="n">
        <v>45894</v>
      </c>
      <c r="G20" s="5" t="n">
        <v>45900</v>
      </c>
      <c r="H20" s="5">
        <f>F20</f>
        <v/>
      </c>
      <c r="I20" s="2" t="inlineStr">
        <is>
          <t>MB0824_05</t>
        </is>
      </c>
      <c r="J20" s="8" t="inlineStr">
        <is>
          <t>packaging: year 2025 inferred (not printed)</t>
        </is>
      </c>
    </row>
    <row r="21">
      <c r="A21" s="2" t="n">
        <v>20</v>
      </c>
      <c r="B21" s="3" t="inlineStr">
        <is>
          <t>OPM052501</t>
        </is>
      </c>
      <c r="C21" s="3" t="inlineStr">
        <is>
          <t>P050132</t>
        </is>
      </c>
      <c r="D21" s="5" t="n">
        <v>45880</v>
      </c>
      <c r="E21" s="5" t="n">
        <v>45882</v>
      </c>
      <c r="F21" s="5" t="n">
        <v>45909</v>
      </c>
      <c r="G21" s="5" t="n">
        <v>45915</v>
      </c>
      <c r="H21" s="5">
        <f>F21</f>
        <v/>
      </c>
      <c r="I21" s="2" t="inlineStr">
        <is>
          <t>OPM052501</t>
        </is>
      </c>
      <c r="J21" s="8" t="inlineStr">
        <is>
          <t>packaging: year 2025 inferred (not printed)</t>
        </is>
      </c>
    </row>
    <row r="22">
      <c r="A22" s="2" t="n">
        <v>21</v>
      </c>
      <c r="B22" s="3" t="inlineStr">
        <is>
          <t>GP052501</t>
        </is>
      </c>
      <c r="C22" s="3" t="inlineStr">
        <is>
          <t>P050152</t>
        </is>
      </c>
      <c r="D22" s="11" t="inlineStr">
        <is>
          <t>— not given —</t>
        </is>
      </c>
      <c r="E22" s="11" t="inlineStr">
        <is>
          <t>— not given —</t>
        </is>
      </c>
      <c r="F22" s="5" t="n">
        <v>45925</v>
      </c>
      <c r="G22" s="5" t="n">
        <v>45925</v>
      </c>
      <c r="H22" s="5">
        <f>F22</f>
        <v/>
      </c>
      <c r="I22" s="2" t="inlineStr">
        <is>
          <t>GP052501</t>
        </is>
      </c>
      <c r="J22" s="8" t="inlineStr">
        <is>
          <t>harvest: no date given</t>
        </is>
      </c>
    </row>
    <row r="23">
      <c r="A23" s="2" t="n">
        <v>22</v>
      </c>
      <c r="B23" s="3" t="inlineStr">
        <is>
          <t>CJ052501/01</t>
        </is>
      </c>
      <c r="C23" s="3" t="inlineStr">
        <is>
          <t>P050162</t>
        </is>
      </c>
      <c r="D23" s="5" t="n">
        <v>45889</v>
      </c>
      <c r="E23" s="5" t="n">
        <v>45889</v>
      </c>
      <c r="F23" s="5" t="n">
        <v>45930</v>
      </c>
      <c r="G23" s="5" t="n">
        <v>45931</v>
      </c>
      <c r="H23" s="5">
        <f>F23</f>
        <v/>
      </c>
      <c r="I23" s="2" t="inlineStr">
        <is>
          <t>CJ052501/01</t>
        </is>
      </c>
      <c r="J23" s="8" t="inlineStr"/>
    </row>
    <row r="24">
      <c r="A24" s="2" t="n">
        <v>23</v>
      </c>
      <c r="B24" s="3" t="inlineStr">
        <is>
          <t>CJ052501/02</t>
        </is>
      </c>
      <c r="C24" s="3" t="inlineStr">
        <is>
          <t>P050172</t>
        </is>
      </c>
      <c r="D24" s="5" t="n">
        <v>45889</v>
      </c>
      <c r="E24" s="5" t="n">
        <v>45889</v>
      </c>
      <c r="F24" s="5" t="n">
        <v>45931</v>
      </c>
      <c r="G24" s="5" t="n">
        <v>45932</v>
      </c>
      <c r="H24" s="5">
        <f>F24</f>
        <v/>
      </c>
      <c r="I24" s="2" t="inlineStr">
        <is>
          <t>CJ052501/02</t>
        </is>
      </c>
      <c r="J24" s="8" t="inlineStr"/>
    </row>
    <row r="25">
      <c r="A25" s="2" t="n">
        <v>24</v>
      </c>
      <c r="B25" s="3" t="inlineStr">
        <is>
          <t>HPA052501</t>
        </is>
      </c>
      <c r="C25" s="3" t="inlineStr">
        <is>
          <t>P050182</t>
        </is>
      </c>
      <c r="D25" s="5" t="n">
        <v>45890</v>
      </c>
      <c r="E25" s="5" t="n">
        <v>45892</v>
      </c>
      <c r="F25" s="5" t="n">
        <v>45933</v>
      </c>
      <c r="G25" s="5" t="n">
        <v>45939</v>
      </c>
      <c r="H25" s="5">
        <f>F25</f>
        <v/>
      </c>
      <c r="I25" s="2" t="inlineStr">
        <is>
          <t>HPA052501</t>
        </is>
      </c>
      <c r="J25" s="8" t="inlineStr"/>
    </row>
    <row r="26">
      <c r="A26" s="2" t="n">
        <v>25</v>
      </c>
      <c r="B26" s="3" t="inlineStr">
        <is>
          <t>BSS052501</t>
        </is>
      </c>
      <c r="C26" s="3" t="inlineStr">
        <is>
          <t>P050192</t>
        </is>
      </c>
      <c r="D26" s="5" t="n">
        <v>45901</v>
      </c>
      <c r="E26" s="5" t="n">
        <v>45903</v>
      </c>
      <c r="F26" s="5" t="n">
        <v>45940</v>
      </c>
      <c r="G26" s="5" t="n">
        <v>45951</v>
      </c>
      <c r="H26" s="5">
        <f>F26</f>
        <v/>
      </c>
      <c r="I26" s="2" t="inlineStr">
        <is>
          <t>BSS052501</t>
        </is>
      </c>
      <c r="J26" s="8" t="inlineStr"/>
    </row>
    <row r="27">
      <c r="A27" s="2" t="n">
        <v>26</v>
      </c>
      <c r="B27" s="3" t="inlineStr">
        <is>
          <t>GP062501</t>
        </is>
      </c>
      <c r="C27" s="3" t="inlineStr">
        <is>
          <t>P050202</t>
        </is>
      </c>
      <c r="D27" s="5" t="n">
        <v>45915</v>
      </c>
      <c r="E27" s="5" t="n">
        <v>45917</v>
      </c>
      <c r="F27" s="5" t="n">
        <v>45960</v>
      </c>
      <c r="G27" s="5" t="n">
        <v>45968</v>
      </c>
      <c r="H27" s="5">
        <f>F27</f>
        <v/>
      </c>
      <c r="I27" s="2" t="inlineStr">
        <is>
          <t>GP062501</t>
        </is>
      </c>
      <c r="J27" s="8" t="inlineStr"/>
    </row>
    <row r="28">
      <c r="A28" s="2" t="n">
        <v>27</v>
      </c>
      <c r="B28" s="3" t="inlineStr">
        <is>
          <t>SC062501</t>
        </is>
      </c>
      <c r="C28" s="3" t="inlineStr">
        <is>
          <t>P050242</t>
        </is>
      </c>
      <c r="D28" s="5" t="n">
        <v>45917</v>
      </c>
      <c r="E28" s="5" t="n">
        <v>45917</v>
      </c>
      <c r="F28" s="5" t="n">
        <v>45988</v>
      </c>
      <c r="G28" s="5" t="n">
        <v>45988</v>
      </c>
      <c r="H28" s="5">
        <f>F28</f>
        <v/>
      </c>
      <c r="I28" s="6" t="inlineStr">
        <is>
          <t>— not on the tracker —</t>
        </is>
      </c>
      <c r="J28" s="8" t="inlineStr"/>
    </row>
    <row r="29">
      <c r="A29" s="2" t="n">
        <v>28</v>
      </c>
      <c r="B29" s="3" t="inlineStr">
        <is>
          <t>GOG062501</t>
        </is>
      </c>
      <c r="C29" s="3" t="inlineStr">
        <is>
          <t>P050232</t>
        </is>
      </c>
      <c r="D29" s="5" t="n">
        <v>45917</v>
      </c>
      <c r="E29" s="5" t="n">
        <v>45917</v>
      </c>
      <c r="F29" s="5" t="n">
        <v>45988</v>
      </c>
      <c r="G29" s="5" t="n">
        <v>45988</v>
      </c>
      <c r="H29" s="5">
        <f>F29</f>
        <v/>
      </c>
      <c r="I29" s="6" t="inlineStr">
        <is>
          <t>— not on the tracker —</t>
        </is>
      </c>
      <c r="J29" s="8" t="inlineStr"/>
    </row>
    <row r="30">
      <c r="A30" s="2" t="n">
        <v>29</v>
      </c>
      <c r="B30" s="3" t="inlineStr">
        <is>
          <t>CJ062501/1</t>
        </is>
      </c>
      <c r="C30" s="3" t="inlineStr">
        <is>
          <t>P050222</t>
        </is>
      </c>
      <c r="D30" s="5" t="n">
        <v>45923</v>
      </c>
      <c r="E30" s="5" t="n">
        <v>45923</v>
      </c>
      <c r="F30" s="5" t="n">
        <v>45985</v>
      </c>
      <c r="G30" s="5" t="n">
        <v>45986</v>
      </c>
      <c r="H30" s="5">
        <f>F30</f>
        <v/>
      </c>
      <c r="I30" s="2" t="inlineStr">
        <is>
          <t>CJ062501/1</t>
        </is>
      </c>
      <c r="J30" s="8" t="inlineStr"/>
    </row>
    <row r="31">
      <c r="A31" s="2" t="n">
        <v>30</v>
      </c>
      <c r="B31" s="3" t="inlineStr">
        <is>
          <t>CJ062501/2</t>
        </is>
      </c>
      <c r="C31" s="3" t="inlineStr">
        <is>
          <t>P050212</t>
        </is>
      </c>
      <c r="D31" s="5" t="n">
        <v>45923</v>
      </c>
      <c r="E31" s="5" t="n">
        <v>45924</v>
      </c>
      <c r="F31" s="5" t="n">
        <v>45979</v>
      </c>
      <c r="G31" s="5" t="n">
        <v>45985</v>
      </c>
      <c r="H31" s="5">
        <f>F31</f>
        <v/>
      </c>
      <c r="I31" s="2" t="inlineStr">
        <is>
          <t>CJ062501/2</t>
        </is>
      </c>
      <c r="J31" s="8" t="inlineStr"/>
    </row>
    <row r="32">
      <c r="A32" s="2" t="n">
        <v>31</v>
      </c>
      <c r="B32" s="3" t="inlineStr">
        <is>
          <t>CJ072501</t>
        </is>
      </c>
      <c r="C32" s="3" t="inlineStr">
        <is>
          <t>P050252</t>
        </is>
      </c>
      <c r="D32" s="5" t="n">
        <v>45957</v>
      </c>
      <c r="E32" s="5" t="n">
        <v>45957</v>
      </c>
      <c r="F32" s="5" t="n">
        <v>45988</v>
      </c>
      <c r="G32" s="5" t="n">
        <v>45989</v>
      </c>
      <c r="H32" s="5">
        <f>F32</f>
        <v/>
      </c>
      <c r="I32" s="2" t="inlineStr">
        <is>
          <t>CJ072501</t>
        </is>
      </c>
      <c r="J32" s="8" t="inlineStr"/>
    </row>
    <row r="33">
      <c r="A33" s="2" t="n">
        <v>32</v>
      </c>
      <c r="B33" s="3" t="inlineStr">
        <is>
          <t>PM072501</t>
        </is>
      </c>
      <c r="C33" s="3" t="inlineStr">
        <is>
          <t>P050272</t>
        </is>
      </c>
      <c r="D33" s="5" t="n">
        <v>45957</v>
      </c>
      <c r="E33" s="5" t="n">
        <v>45957</v>
      </c>
      <c r="F33" s="5" t="n">
        <v>45993</v>
      </c>
      <c r="G33" s="5" t="n">
        <v>45994</v>
      </c>
      <c r="H33" s="5">
        <f>F33</f>
        <v/>
      </c>
      <c r="I33" s="2" t="inlineStr">
        <is>
          <t>PM072501</t>
        </is>
      </c>
      <c r="J33" s="8" t="inlineStr"/>
    </row>
    <row r="34">
      <c r="A34" s="2" t="n">
        <v>33</v>
      </c>
      <c r="B34" s="3" t="inlineStr">
        <is>
          <t>WC072501</t>
        </is>
      </c>
      <c r="C34" s="3" t="inlineStr">
        <is>
          <t>P050262</t>
        </is>
      </c>
      <c r="D34" s="5" t="n">
        <v>45957</v>
      </c>
      <c r="E34" s="5" t="n">
        <v>45958</v>
      </c>
      <c r="F34" s="5" t="n">
        <v>45992</v>
      </c>
      <c r="G34" s="5" t="n">
        <v>45992</v>
      </c>
      <c r="H34" s="5">
        <f>F34</f>
        <v/>
      </c>
      <c r="I34" s="2" t="inlineStr">
        <is>
          <t>WC072501</t>
        </is>
      </c>
      <c r="J34" s="8" t="inlineStr"/>
    </row>
    <row r="35">
      <c r="A35" s="2" t="n">
        <v>34</v>
      </c>
      <c r="B35" s="3" t="inlineStr">
        <is>
          <t>CLE072501</t>
        </is>
      </c>
      <c r="C35" s="3" t="inlineStr">
        <is>
          <t>P050282</t>
        </is>
      </c>
      <c r="D35" s="5" t="n">
        <v>45958</v>
      </c>
      <c r="E35" s="5" t="n">
        <v>45958</v>
      </c>
      <c r="F35" s="5" t="n">
        <v>45994</v>
      </c>
      <c r="G35" s="5" t="n">
        <v>45995</v>
      </c>
      <c r="H35" s="5">
        <f>F35</f>
        <v/>
      </c>
      <c r="I35" s="2" t="inlineStr">
        <is>
          <t>CLE072501</t>
        </is>
      </c>
      <c r="J35" s="8" t="inlineStr"/>
    </row>
    <row r="36">
      <c r="A36" s="2" t="n">
        <v>35</v>
      </c>
      <c r="B36" s="3" t="inlineStr">
        <is>
          <t>GP072501/1</t>
        </is>
      </c>
      <c r="C36" s="3" t="inlineStr">
        <is>
          <t>P050292</t>
        </is>
      </c>
      <c r="D36" s="5" t="n">
        <v>45972</v>
      </c>
      <c r="E36" s="5" t="n">
        <v>45974</v>
      </c>
      <c r="F36" s="5" t="n">
        <v>46006</v>
      </c>
      <c r="G36" s="5" t="n">
        <v>46012</v>
      </c>
      <c r="H36" s="5">
        <f>F36</f>
        <v/>
      </c>
      <c r="I36" s="2" t="inlineStr">
        <is>
          <t>GP072501/1</t>
        </is>
      </c>
      <c r="J36" s="8" t="inlineStr">
        <is>
          <t>harvest: printed 11-13-11.2025, read as 11-13.11.2025</t>
        </is>
      </c>
    </row>
    <row r="37">
      <c r="A37" s="2" t="n">
        <v>36</v>
      </c>
      <c r="B37" s="3" t="inlineStr">
        <is>
          <t>GP072501/2</t>
        </is>
      </c>
      <c r="C37" s="3" t="inlineStr">
        <is>
          <t>P050302</t>
        </is>
      </c>
      <c r="D37" s="5" t="n">
        <v>45974</v>
      </c>
      <c r="E37" s="5" t="n">
        <v>45974</v>
      </c>
      <c r="F37" s="5" t="n">
        <v>46013</v>
      </c>
      <c r="G37" s="5" t="n">
        <v>46013</v>
      </c>
      <c r="H37" s="5">
        <f>F37</f>
        <v/>
      </c>
      <c r="I37" s="2" t="inlineStr">
        <is>
          <t>GP072501/2</t>
        </is>
      </c>
      <c r="J37" s="8" t="inlineStr"/>
    </row>
    <row r="38">
      <c r="A38" s="2" t="n">
        <v>37</v>
      </c>
      <c r="B38" s="3" t="inlineStr">
        <is>
          <t>GP082501/1</t>
        </is>
      </c>
      <c r="C38" s="3" t="inlineStr">
        <is>
          <t>P050312</t>
        </is>
      </c>
      <c r="D38" s="5" t="n">
        <v>45980</v>
      </c>
      <c r="E38" s="5" t="n">
        <v>45981</v>
      </c>
      <c r="F38" s="5" t="n">
        <v>46014</v>
      </c>
      <c r="G38" s="5" t="n">
        <v>46017</v>
      </c>
      <c r="H38" s="5">
        <f>F38</f>
        <v/>
      </c>
      <c r="I38" s="2" t="inlineStr">
        <is>
          <t>GP082501/1</t>
        </is>
      </c>
      <c r="J38" s="8" t="inlineStr"/>
    </row>
    <row r="39">
      <c r="A39" s="2" t="n">
        <v>38</v>
      </c>
      <c r="B39" s="3" t="inlineStr">
        <is>
          <t>GP082501/2</t>
        </is>
      </c>
      <c r="C39" s="3" t="inlineStr">
        <is>
          <t>P050322</t>
        </is>
      </c>
      <c r="D39" s="5" t="n">
        <v>45981</v>
      </c>
      <c r="E39" s="5" t="n">
        <v>45981</v>
      </c>
      <c r="F39" s="5" t="n">
        <v>46017</v>
      </c>
      <c r="G39" s="5" t="n">
        <v>46017</v>
      </c>
      <c r="H39" s="5">
        <f>F39</f>
        <v/>
      </c>
      <c r="I39" s="2" t="inlineStr">
        <is>
          <t>GP082501/2</t>
        </is>
      </c>
      <c r="J39" s="8" t="inlineStr"/>
    </row>
    <row r="40">
      <c r="A40" s="2" t="n">
        <v>39</v>
      </c>
      <c r="B40" s="3" t="inlineStr">
        <is>
          <t>WC082501</t>
        </is>
      </c>
      <c r="C40" s="3" t="inlineStr">
        <is>
          <t>P060012</t>
        </is>
      </c>
      <c r="D40" s="5" t="n">
        <v>46000</v>
      </c>
      <c r="E40" s="5" t="n">
        <v>46000</v>
      </c>
      <c r="F40" s="5" t="n">
        <v>46035</v>
      </c>
      <c r="G40" s="5" t="n">
        <v>46036</v>
      </c>
      <c r="H40" s="5">
        <f>F40</f>
        <v/>
      </c>
      <c r="I40" s="2" t="inlineStr">
        <is>
          <t>WC082501</t>
        </is>
      </c>
      <c r="J40" s="8" t="inlineStr"/>
    </row>
    <row r="41">
      <c r="A41" s="2" t="n">
        <v>40</v>
      </c>
      <c r="B41" s="3" t="inlineStr">
        <is>
          <t>CJ082501/1</t>
        </is>
      </c>
      <c r="C41" s="3" t="inlineStr">
        <is>
          <t>P060022</t>
        </is>
      </c>
      <c r="D41" s="5" t="n">
        <v>46000</v>
      </c>
      <c r="E41" s="5" t="n">
        <v>46001</v>
      </c>
      <c r="F41" s="5" t="n">
        <v>46038</v>
      </c>
      <c r="G41" s="5" t="n">
        <v>46038</v>
      </c>
      <c r="H41" s="5">
        <f>F41</f>
        <v/>
      </c>
      <c r="I41" s="2" t="inlineStr">
        <is>
          <t>CJ082501/1</t>
        </is>
      </c>
      <c r="J41" s="8" t="inlineStr"/>
    </row>
    <row r="42">
      <c r="A42" s="2" t="n">
        <v>41</v>
      </c>
      <c r="B42" s="3" t="inlineStr">
        <is>
          <t>CJ082501/2</t>
        </is>
      </c>
      <c r="C42" s="3" t="inlineStr">
        <is>
          <t>P060032</t>
        </is>
      </c>
      <c r="D42" s="5" t="n">
        <v>46001</v>
      </c>
      <c r="E42" s="5" t="n">
        <v>46001</v>
      </c>
      <c r="F42" s="5" t="n">
        <v>46051</v>
      </c>
      <c r="G42" s="5" t="n">
        <v>46051</v>
      </c>
      <c r="H42" s="5">
        <f>F42</f>
        <v/>
      </c>
      <c r="I42" s="2" t="inlineStr">
        <is>
          <t>CJ082501/2</t>
        </is>
      </c>
      <c r="J42" s="8" t="inlineStr"/>
    </row>
    <row r="43">
      <c r="A43" s="2" t="n">
        <v>42</v>
      </c>
      <c r="B43" s="3" t="inlineStr">
        <is>
          <t>PM092501</t>
        </is>
      </c>
      <c r="C43" s="3" t="inlineStr">
        <is>
          <t>P060062</t>
        </is>
      </c>
      <c r="D43" s="5" t="n">
        <v>46002</v>
      </c>
      <c r="E43" s="5" t="n">
        <v>46002</v>
      </c>
      <c r="F43" s="5" t="n">
        <v>46052</v>
      </c>
      <c r="G43" s="5" t="n">
        <v>46052</v>
      </c>
      <c r="H43" s="5">
        <f>F43</f>
        <v/>
      </c>
      <c r="I43" s="2" t="inlineStr">
        <is>
          <t>PM092501</t>
        </is>
      </c>
      <c r="J43" s="8" t="inlineStr"/>
    </row>
    <row r="44">
      <c r="A44" s="2" t="n">
        <v>43</v>
      </c>
      <c r="B44" s="3" t="inlineStr">
        <is>
          <t>AB092501</t>
        </is>
      </c>
      <c r="C44" s="3" t="inlineStr">
        <is>
          <t>P060052</t>
        </is>
      </c>
      <c r="D44" s="5" t="n">
        <v>46002</v>
      </c>
      <c r="E44" s="5" t="n">
        <v>46002</v>
      </c>
      <c r="F44" s="5" t="n">
        <v>46052</v>
      </c>
      <c r="G44" s="5" t="n">
        <v>46052</v>
      </c>
      <c r="H44" s="5">
        <f>F44</f>
        <v/>
      </c>
      <c r="I44" s="2" t="inlineStr">
        <is>
          <t>AB092501</t>
        </is>
      </c>
      <c r="J44" s="8" t="inlineStr"/>
    </row>
    <row r="45">
      <c r="A45" s="2" t="n">
        <v>44</v>
      </c>
      <c r="B45" s="3" t="inlineStr">
        <is>
          <t>SJ0925021</t>
        </is>
      </c>
      <c r="C45" s="3" t="inlineStr">
        <is>
          <t>P060082</t>
        </is>
      </c>
      <c r="D45" s="5" t="n">
        <v>46002</v>
      </c>
      <c r="E45" s="5" t="n">
        <v>46003</v>
      </c>
      <c r="F45" s="5" t="n">
        <v>46055</v>
      </c>
      <c r="G45" s="5" t="n">
        <v>46055</v>
      </c>
      <c r="H45" s="5">
        <f>F45</f>
        <v/>
      </c>
      <c r="I45" s="2" t="inlineStr">
        <is>
          <t>SJ0925021</t>
        </is>
      </c>
      <c r="J45" s="8" t="inlineStr"/>
    </row>
    <row r="46">
      <c r="A46" s="2" t="n">
        <v>45</v>
      </c>
      <c r="B46" s="3" t="inlineStr">
        <is>
          <t>CJ092501</t>
        </is>
      </c>
      <c r="C46" s="3" t="inlineStr">
        <is>
          <t>P060072</t>
        </is>
      </c>
      <c r="D46" s="5" t="n">
        <v>46003</v>
      </c>
      <c r="E46" s="5" t="n">
        <v>46003</v>
      </c>
      <c r="F46" s="5" t="n">
        <v>46055</v>
      </c>
      <c r="G46" s="5" t="n">
        <v>46055</v>
      </c>
      <c r="H46" s="5">
        <f>F46</f>
        <v/>
      </c>
      <c r="I46" s="2" t="inlineStr">
        <is>
          <t>CJ092501</t>
        </is>
      </c>
      <c r="J46" s="8" t="inlineStr"/>
    </row>
    <row r="47">
      <c r="A47" s="2" t="n">
        <v>46</v>
      </c>
      <c r="B47" s="3" t="inlineStr">
        <is>
          <t>OPM092501</t>
        </is>
      </c>
      <c r="C47" s="3" t="inlineStr">
        <is>
          <t>P060042</t>
        </is>
      </c>
      <c r="D47" s="5" t="n">
        <v>46003</v>
      </c>
      <c r="E47" s="5" t="n">
        <v>46003</v>
      </c>
      <c r="F47" s="5" t="n">
        <v>46051</v>
      </c>
      <c r="G47" s="5" t="n">
        <v>46051</v>
      </c>
      <c r="H47" s="5">
        <f>F47</f>
        <v/>
      </c>
      <c r="I47" s="2" t="inlineStr">
        <is>
          <t>OPM092501</t>
        </is>
      </c>
      <c r="J47" s="8" t="inlineStr"/>
    </row>
    <row r="48">
      <c r="A48" s="2" t="n">
        <v>47</v>
      </c>
      <c r="B48" s="3" t="inlineStr">
        <is>
          <t>GP092501</t>
        </is>
      </c>
      <c r="C48" s="3" t="inlineStr">
        <is>
          <t>P060092</t>
        </is>
      </c>
      <c r="D48" s="5" t="n">
        <v>46007</v>
      </c>
      <c r="E48" s="5" t="n">
        <v>46008</v>
      </c>
      <c r="F48" s="5" t="n">
        <v>46056</v>
      </c>
      <c r="G48" s="5" t="n">
        <v>46062</v>
      </c>
      <c r="H48" s="5">
        <f>F48</f>
        <v/>
      </c>
      <c r="I48" s="2" t="inlineStr">
        <is>
          <t>GP092501</t>
        </is>
      </c>
      <c r="J48" s="8" t="inlineStr"/>
    </row>
    <row r="49">
      <c r="A49" s="2" t="n">
        <v>48</v>
      </c>
      <c r="B49" s="3" t="inlineStr">
        <is>
          <t>ACC102501</t>
        </is>
      </c>
      <c r="C49" s="3" t="inlineStr">
        <is>
          <t>P060122</t>
        </is>
      </c>
      <c r="D49" s="5" t="n">
        <v>46031</v>
      </c>
      <c r="E49" s="5" t="n">
        <v>46031</v>
      </c>
      <c r="F49" s="5" t="n">
        <v>46071</v>
      </c>
      <c r="G49" s="5" t="n">
        <v>46072</v>
      </c>
      <c r="H49" s="5">
        <f>F49</f>
        <v/>
      </c>
      <c r="I49" s="6" t="inlineStr">
        <is>
          <t>— not on the tracker —</t>
        </is>
      </c>
      <c r="J49" s="8" t="inlineStr"/>
    </row>
    <row r="50">
      <c r="A50" s="2" t="n">
        <v>49</v>
      </c>
      <c r="B50" s="3" t="inlineStr">
        <is>
          <t>PUM102501</t>
        </is>
      </c>
      <c r="C50" s="3" t="inlineStr">
        <is>
          <t>P060112</t>
        </is>
      </c>
      <c r="D50" s="5" t="n">
        <v>46030</v>
      </c>
      <c r="E50" s="5" t="n">
        <v>46031</v>
      </c>
      <c r="F50" s="5" t="n">
        <v>46070</v>
      </c>
      <c r="G50" s="5" t="n">
        <v>46070</v>
      </c>
      <c r="H50" s="5">
        <f>F50</f>
        <v/>
      </c>
      <c r="I50" s="6" t="inlineStr">
        <is>
          <t>— not on the tracker —</t>
        </is>
      </c>
      <c r="J50" s="8" t="inlineStr"/>
    </row>
    <row r="51">
      <c r="A51" s="2" t="n">
        <v>50</v>
      </c>
      <c r="B51" s="3" t="inlineStr">
        <is>
          <t>GRC102501/1</t>
        </is>
      </c>
      <c r="C51" s="3" t="inlineStr">
        <is>
          <t>P060142</t>
        </is>
      </c>
      <c r="D51" s="5" t="n">
        <v>46031</v>
      </c>
      <c r="E51" s="5" t="n">
        <v>46031</v>
      </c>
      <c r="F51" s="5" t="n">
        <v>46076</v>
      </c>
      <c r="G51" s="5" t="n">
        <v>46076</v>
      </c>
      <c r="H51" s="5">
        <f>F51</f>
        <v/>
      </c>
      <c r="I51" s="2" t="inlineStr">
        <is>
          <t>GRC102501</t>
        </is>
      </c>
      <c r="J51" s="8" t="inlineStr"/>
    </row>
    <row r="52">
      <c r="A52" s="2" t="n">
        <v>51</v>
      </c>
      <c r="B52" s="3" t="inlineStr">
        <is>
          <t>WED102501</t>
        </is>
      </c>
      <c r="C52" s="3" t="inlineStr">
        <is>
          <t>P060102</t>
        </is>
      </c>
      <c r="D52" s="5" t="n">
        <v>46030</v>
      </c>
      <c r="E52" s="5" t="n">
        <v>46030</v>
      </c>
      <c r="F52" s="5" t="n">
        <v>46069</v>
      </c>
      <c r="G52" s="5" t="n">
        <v>46069</v>
      </c>
      <c r="H52" s="5">
        <f>F52</f>
        <v/>
      </c>
      <c r="I52" s="2" t="inlineStr">
        <is>
          <t>P060102</t>
        </is>
      </c>
      <c r="J52" s="8" t="inlineStr"/>
    </row>
    <row r="53">
      <c r="A53" s="2" t="n">
        <v>52</v>
      </c>
      <c r="B53" s="3" t="inlineStr">
        <is>
          <t>CF102501</t>
        </is>
      </c>
      <c r="C53" s="3" t="inlineStr">
        <is>
          <t>P060132</t>
        </is>
      </c>
      <c r="D53" s="5" t="n">
        <v>46031</v>
      </c>
      <c r="E53" s="5" t="n">
        <v>46031</v>
      </c>
      <c r="F53" s="5" t="n">
        <v>46072</v>
      </c>
      <c r="G53" s="5" t="n">
        <v>46073</v>
      </c>
      <c r="H53" s="5">
        <f>F53</f>
        <v/>
      </c>
      <c r="I53" s="6" t="inlineStr">
        <is>
          <t>— not on the tracker —</t>
        </is>
      </c>
      <c r="J53" s="8" t="inlineStr"/>
    </row>
    <row r="54">
      <c r="A54" s="2" t="n">
        <v>53</v>
      </c>
      <c r="B54" s="3" t="inlineStr">
        <is>
          <t>GRC102501/2</t>
        </is>
      </c>
      <c r="C54" s="3" t="inlineStr">
        <is>
          <t>P060182</t>
        </is>
      </c>
      <c r="D54" s="5" t="n">
        <v>46042</v>
      </c>
      <c r="E54" s="5" t="n">
        <v>46042</v>
      </c>
      <c r="F54" s="5" t="n">
        <v>46095</v>
      </c>
      <c r="G54" s="5" t="n">
        <v>46095</v>
      </c>
      <c r="H54" s="5">
        <f>F54</f>
        <v/>
      </c>
      <c r="I54" s="2" t="inlineStr">
        <is>
          <t>GRC102501</t>
        </is>
      </c>
      <c r="J54" s="8" t="inlineStr"/>
    </row>
    <row r="55">
      <c r="A55" s="2" t="n">
        <v>54</v>
      </c>
      <c r="B55" s="3" t="inlineStr">
        <is>
          <t>SJ102501</t>
        </is>
      </c>
      <c r="C55" s="3" t="inlineStr">
        <is>
          <t>P060162</t>
        </is>
      </c>
      <c r="D55" s="5" t="n">
        <v>46042</v>
      </c>
      <c r="E55" s="5" t="n">
        <v>46042</v>
      </c>
      <c r="F55" s="5" t="n">
        <v>46090</v>
      </c>
      <c r="G55" s="5" t="n">
        <v>46090</v>
      </c>
      <c r="H55" s="5">
        <f>F55</f>
        <v/>
      </c>
      <c r="I55" s="2" t="inlineStr">
        <is>
          <t>SJ102501</t>
        </is>
      </c>
      <c r="J55" s="8" t="inlineStr"/>
    </row>
    <row r="56">
      <c r="A56" s="2" t="n">
        <v>55</v>
      </c>
      <c r="B56" s="3" t="inlineStr">
        <is>
          <t>KC102501</t>
        </is>
      </c>
      <c r="C56" s="3" t="inlineStr">
        <is>
          <t>P060172</t>
        </is>
      </c>
      <c r="D56" s="5" t="n">
        <v>46042</v>
      </c>
      <c r="E56" s="5" t="n">
        <v>46043</v>
      </c>
      <c r="F56" s="5" t="n">
        <v>46093</v>
      </c>
      <c r="G56" s="5" t="n">
        <v>46093</v>
      </c>
      <c r="H56" s="5">
        <f>F56</f>
        <v/>
      </c>
      <c r="I56" s="2" t="inlineStr">
        <is>
          <t>KC102501</t>
        </is>
      </c>
      <c r="J56" s="8" t="inlineStr"/>
    </row>
    <row r="57">
      <c r="A57" s="2" t="n">
        <v>56</v>
      </c>
      <c r="B57" s="3" t="inlineStr">
        <is>
          <t>J31102501</t>
        </is>
      </c>
      <c r="C57" s="3" t="inlineStr">
        <is>
          <t>P060152</t>
        </is>
      </c>
      <c r="D57" s="5" t="n">
        <v>46043</v>
      </c>
      <c r="E57" s="5" t="n">
        <v>46043</v>
      </c>
      <c r="F57" s="5" t="n">
        <v>46086</v>
      </c>
      <c r="G57" s="5" t="n">
        <v>46086</v>
      </c>
      <c r="H57" s="5">
        <f>F57</f>
        <v/>
      </c>
      <c r="I57" s="2" t="inlineStr">
        <is>
          <t>J31102501</t>
        </is>
      </c>
      <c r="J57" s="8" t="inlineStr"/>
    </row>
    <row r="58">
      <c r="A58" s="2" t="n">
        <v>57</v>
      </c>
      <c r="B58" s="3" t="inlineStr">
        <is>
          <t>J31112501</t>
        </is>
      </c>
      <c r="C58" s="3" t="inlineStr">
        <is>
          <t>P060202</t>
        </is>
      </c>
      <c r="D58" s="5" t="n">
        <v>46048</v>
      </c>
      <c r="E58" s="5" t="n">
        <v>46048</v>
      </c>
      <c r="F58" s="5" t="n">
        <v>46129</v>
      </c>
      <c r="G58" s="5" t="n">
        <v>46129</v>
      </c>
      <c r="H58" s="5">
        <f>F58</f>
        <v/>
      </c>
      <c r="I58" s="2" t="inlineStr">
        <is>
          <t>J31112501</t>
        </is>
      </c>
      <c r="J58" s="8" t="inlineStr"/>
    </row>
    <row r="59">
      <c r="A59" s="2" t="n">
        <v>58</v>
      </c>
      <c r="B59" s="3" t="inlineStr">
        <is>
          <t>SJ112501</t>
        </is>
      </c>
      <c r="C59" s="3" t="inlineStr">
        <is>
          <t>P060192</t>
        </is>
      </c>
      <c r="D59" s="5" t="n">
        <v>46048</v>
      </c>
      <c r="E59" s="5" t="n">
        <v>46049</v>
      </c>
      <c r="F59" s="5" t="n">
        <v>46112</v>
      </c>
      <c r="G59" s="5" t="n">
        <v>46112</v>
      </c>
      <c r="H59" s="5">
        <f>F59</f>
        <v/>
      </c>
      <c r="I59" s="2" t="inlineStr">
        <is>
          <t>SJ112501</t>
        </is>
      </c>
      <c r="J59" s="8" t="inlineStr"/>
    </row>
    <row r="60">
      <c r="A60" s="2" t="n">
        <v>59</v>
      </c>
      <c r="B60" s="3" t="inlineStr">
        <is>
          <t>OPM112501</t>
        </is>
      </c>
      <c r="C60" s="3" t="inlineStr">
        <is>
          <t>P060222</t>
        </is>
      </c>
      <c r="D60" s="5" t="n">
        <v>46058</v>
      </c>
      <c r="E60" s="5" t="n">
        <v>46058</v>
      </c>
      <c r="F60" s="5" t="n">
        <v>46136</v>
      </c>
      <c r="G60" s="5" t="n">
        <v>46136</v>
      </c>
      <c r="H60" s="5">
        <f>F60</f>
        <v/>
      </c>
      <c r="I60" s="2" t="inlineStr">
        <is>
          <t>OPM112501</t>
        </is>
      </c>
      <c r="J60" s="8" t="inlineStr"/>
    </row>
    <row r="61">
      <c r="A61" s="2" t="n">
        <v>60</v>
      </c>
      <c r="B61" s="3" t="inlineStr">
        <is>
          <t>PM112501</t>
        </is>
      </c>
      <c r="C61" s="3" t="inlineStr">
        <is>
          <t>P060232</t>
        </is>
      </c>
      <c r="D61" s="5" t="n">
        <v>46058</v>
      </c>
      <c r="E61" s="5" t="n">
        <v>46058</v>
      </c>
      <c r="F61" s="5" t="n">
        <v>46139</v>
      </c>
      <c r="G61" s="5" t="n">
        <v>46139</v>
      </c>
      <c r="H61" s="5">
        <f>F61</f>
        <v/>
      </c>
      <c r="I61" s="2" t="inlineStr">
        <is>
          <t>PM112501</t>
        </is>
      </c>
      <c r="J61" s="8" t="inlineStr"/>
    </row>
    <row r="62">
      <c r="A62" s="2" t="n">
        <v>61</v>
      </c>
      <c r="B62" s="3" t="inlineStr">
        <is>
          <t>JD112501</t>
        </is>
      </c>
      <c r="C62" s="3" t="inlineStr">
        <is>
          <t>P060212</t>
        </is>
      </c>
      <c r="D62" s="5" t="n">
        <v>46106</v>
      </c>
      <c r="E62" s="5" t="n">
        <v>46106</v>
      </c>
      <c r="F62" s="5" t="n">
        <v>46133</v>
      </c>
      <c r="G62" s="5" t="n">
        <v>46133</v>
      </c>
      <c r="H62" s="5">
        <f>F62</f>
        <v/>
      </c>
      <c r="I62" s="2" t="inlineStr">
        <is>
          <t>JD112501＊</t>
        </is>
      </c>
      <c r="J62" s="8" t="inlineStr"/>
    </row>
    <row r="63">
      <c r="A63" s="2" t="n">
        <v>62</v>
      </c>
      <c r="B63" s="3" t="inlineStr">
        <is>
          <t>OPM122501</t>
        </is>
      </c>
      <c r="C63" s="3" t="inlineStr">
        <is>
          <t>P060242</t>
        </is>
      </c>
      <c r="D63" s="5" t="n">
        <v>46092</v>
      </c>
      <c r="E63" s="5" t="n">
        <v>46092</v>
      </c>
      <c r="F63" s="5" t="n">
        <v>46140</v>
      </c>
      <c r="G63" s="5" t="n">
        <v>46140</v>
      </c>
      <c r="H63" s="5">
        <f>F63</f>
        <v/>
      </c>
      <c r="I63" s="2" t="inlineStr">
        <is>
          <t>OPM122501</t>
        </is>
      </c>
      <c r="J63" s="8" t="inlineStr"/>
    </row>
    <row r="64">
      <c r="A64" s="2" t="n">
        <v>63</v>
      </c>
      <c r="B64" s="3" t="inlineStr">
        <is>
          <t>GG112501</t>
        </is>
      </c>
      <c r="C64" s="3" t="inlineStr">
        <is>
          <t>P060252</t>
        </is>
      </c>
      <c r="D64" s="5" t="n">
        <v>46106</v>
      </c>
      <c r="E64" s="5" t="n">
        <v>46106</v>
      </c>
      <c r="F64" s="5" t="n">
        <v>46147</v>
      </c>
      <c r="G64" s="5" t="n">
        <v>46147</v>
      </c>
      <c r="H64" s="5">
        <f>F64</f>
        <v/>
      </c>
      <c r="I64" s="2" t="inlineStr">
        <is>
          <t>GG112501</t>
        </is>
      </c>
      <c r="J64" s="8" t="inlineStr"/>
    </row>
    <row r="65">
      <c r="A65" s="2" t="n">
        <v>64</v>
      </c>
      <c r="B65" s="3" t="inlineStr">
        <is>
          <t>J31122501</t>
        </is>
      </c>
      <c r="C65" s="3" t="inlineStr">
        <is>
          <t>P060262</t>
        </is>
      </c>
      <c r="D65" s="5" t="n">
        <v>46085</v>
      </c>
      <c r="E65" s="5" t="n">
        <v>46085</v>
      </c>
      <c r="F65" s="5" t="n">
        <v>46156</v>
      </c>
      <c r="G65" s="5" t="n">
        <v>46156</v>
      </c>
      <c r="H65" s="5">
        <f>F65</f>
        <v/>
      </c>
      <c r="I65" s="2" t="inlineStr">
        <is>
          <t>J31122501</t>
        </is>
      </c>
      <c r="J65" s="8" t="inlineStr"/>
    </row>
    <row r="66">
      <c r="A66" s="2" t="n">
        <v>65</v>
      </c>
      <c r="B66" s="3" t="inlineStr">
        <is>
          <t>CC112501</t>
        </is>
      </c>
      <c r="C66" s="3" t="inlineStr">
        <is>
          <t>P060272</t>
        </is>
      </c>
      <c r="D66" s="5" t="n">
        <v>46106</v>
      </c>
      <c r="E66" s="5" t="n">
        <v>46106</v>
      </c>
      <c r="F66" s="5" t="n">
        <v>46160</v>
      </c>
      <c r="G66" s="5" t="n">
        <v>46160</v>
      </c>
      <c r="H66" s="5">
        <f>F66</f>
        <v/>
      </c>
      <c r="I66" s="2" t="inlineStr">
        <is>
          <t>CC112501</t>
        </is>
      </c>
      <c r="J66" s="8" t="inlineStr"/>
    </row>
    <row r="67">
      <c r="A67" s="2" t="n">
        <v>66</v>
      </c>
      <c r="B67" s="3" t="inlineStr">
        <is>
          <t>SCR112501</t>
        </is>
      </c>
      <c r="C67" s="3" t="inlineStr">
        <is>
          <t>P060282</t>
        </is>
      </c>
      <c r="D67" s="5" t="n">
        <v>46106</v>
      </c>
      <c r="E67" s="5" t="n">
        <v>46106</v>
      </c>
      <c r="F67" s="5" t="n">
        <v>46160</v>
      </c>
      <c r="G67" s="5" t="n">
        <v>46160</v>
      </c>
      <c r="H67" s="5">
        <f>F67</f>
        <v/>
      </c>
      <c r="I67" s="2" t="inlineStr">
        <is>
          <t>SCR112501</t>
        </is>
      </c>
      <c r="J67" s="8" t="inlineStr"/>
    </row>
    <row r="68">
      <c r="A68" s="2" t="n">
        <v>67</v>
      </c>
      <c r="B68" s="3" t="inlineStr">
        <is>
          <t>FB112501</t>
        </is>
      </c>
      <c r="C68" s="3" t="inlineStr">
        <is>
          <t>P060292</t>
        </is>
      </c>
      <c r="D68" s="5" t="n">
        <v>46106</v>
      </c>
      <c r="E68" s="5" t="n">
        <v>46106</v>
      </c>
      <c r="F68" s="5" t="n">
        <v>46161</v>
      </c>
      <c r="G68" s="5" t="n">
        <v>46161</v>
      </c>
      <c r="H68" s="5">
        <f>F68</f>
        <v/>
      </c>
      <c r="I68" s="2" t="inlineStr">
        <is>
          <t>FB112501</t>
        </is>
      </c>
      <c r="J68" s="8" t="inlineStr"/>
    </row>
    <row r="69">
      <c r="A69" s="2" t="n">
        <v>68</v>
      </c>
      <c r="B69" s="3" t="inlineStr">
        <is>
          <t>GG012601*</t>
        </is>
      </c>
      <c r="C69" s="3" t="inlineStr">
        <is>
          <t>P060302</t>
        </is>
      </c>
      <c r="D69" s="5" t="n">
        <v>46108</v>
      </c>
      <c r="E69" s="5" t="n">
        <v>46108</v>
      </c>
      <c r="F69" s="5" t="n">
        <v>46162</v>
      </c>
      <c r="G69" s="5" t="n">
        <v>46162</v>
      </c>
      <c r="H69" s="5">
        <f>F69</f>
        <v/>
      </c>
      <c r="I69" s="2" t="inlineStr">
        <is>
          <t>GG012601＊</t>
        </is>
      </c>
      <c r="J69" s="8" t="inlineStr"/>
    </row>
    <row r="70">
      <c r="A70" s="2" t="n">
        <v>69</v>
      </c>
      <c r="B70" s="3" t="inlineStr">
        <is>
          <t>JD012601*</t>
        </is>
      </c>
      <c r="C70" s="3" t="inlineStr">
        <is>
          <t>P060312</t>
        </is>
      </c>
      <c r="D70" s="5" t="n">
        <v>46108</v>
      </c>
      <c r="E70" s="5" t="n">
        <v>46108</v>
      </c>
      <c r="F70" s="5" t="n">
        <v>46163</v>
      </c>
      <c r="G70" s="5" t="n">
        <v>46163</v>
      </c>
      <c r="H70" s="5">
        <f>F70</f>
        <v/>
      </c>
      <c r="I70" s="2" t="inlineStr">
        <is>
          <t>JD012601＊</t>
        </is>
      </c>
      <c r="J70" s="8" t="inlineStr"/>
    </row>
    <row r="71">
      <c r="A71" s="2" t="n">
        <v>70</v>
      </c>
      <c r="B71" s="3" t="inlineStr">
        <is>
          <t>FB012601/1</t>
        </is>
      </c>
      <c r="C71" s="3" t="inlineStr">
        <is>
          <t>P060322</t>
        </is>
      </c>
      <c r="D71" s="5" t="n">
        <v>46108</v>
      </c>
      <c r="E71" s="5" t="n">
        <v>46108</v>
      </c>
      <c r="F71" s="5" t="n">
        <v>46164</v>
      </c>
      <c r="G71" s="5" t="n">
        <v>46164</v>
      </c>
      <c r="H71" s="5">
        <f>F71</f>
        <v/>
      </c>
      <c r="I71" s="2" t="inlineStr">
        <is>
          <t>FB012601_1</t>
        </is>
      </c>
      <c r="J71" s="8" t="inlineStr"/>
    </row>
    <row r="72">
      <c r="A72" s="2" t="n">
        <v>71</v>
      </c>
      <c r="B72" s="3" t="inlineStr">
        <is>
          <t>CC012601/1</t>
        </is>
      </c>
      <c r="C72" s="3" t="inlineStr">
        <is>
          <t>P060332</t>
        </is>
      </c>
      <c r="D72" s="5" t="n">
        <v>46128</v>
      </c>
      <c r="E72" s="5" t="n">
        <v>46128</v>
      </c>
      <c r="F72" s="5" t="n">
        <v>46164</v>
      </c>
      <c r="G72" s="5" t="n">
        <v>46164</v>
      </c>
      <c r="H72" s="5">
        <f>F72</f>
        <v/>
      </c>
      <c r="I72" s="2" t="inlineStr">
        <is>
          <t>CC012601/1</t>
        </is>
      </c>
      <c r="J72" s="8" t="inlineStr"/>
    </row>
    <row r="73">
      <c r="A73" s="2" t="n">
        <v>72</v>
      </c>
      <c r="B73" s="3" t="inlineStr">
        <is>
          <t>SCR012601*</t>
        </is>
      </c>
      <c r="C73" s="3" t="inlineStr">
        <is>
          <t>P060342</t>
        </is>
      </c>
      <c r="D73" s="5" t="n">
        <v>46128</v>
      </c>
      <c r="E73" s="5" t="n">
        <v>46128</v>
      </c>
      <c r="F73" s="5" t="n">
        <v>46167</v>
      </c>
      <c r="G73" s="5" t="n">
        <v>46167</v>
      </c>
      <c r="H73" s="5">
        <f>F73</f>
        <v/>
      </c>
      <c r="I73" s="2" t="inlineStr">
        <is>
          <t>P060342</t>
        </is>
      </c>
      <c r="J73" s="8" t="inlineStr"/>
    </row>
    <row r="74">
      <c r="A74" s="2" t="n">
        <v>73</v>
      </c>
      <c r="B74" s="3" t="inlineStr">
        <is>
          <t>FB012602*</t>
        </is>
      </c>
      <c r="C74" s="3" t="inlineStr">
        <is>
          <t>P060352</t>
        </is>
      </c>
      <c r="D74" s="5" t="n">
        <v>46128</v>
      </c>
      <c r="E74" s="5" t="n">
        <v>46128</v>
      </c>
      <c r="F74" s="5" t="n">
        <v>46165</v>
      </c>
      <c r="G74" s="5" t="n">
        <v>46165</v>
      </c>
      <c r="H74" s="5">
        <f>F74</f>
        <v/>
      </c>
      <c r="I74" s="2" t="inlineStr">
        <is>
          <t>FB012602*</t>
        </is>
      </c>
      <c r="J74" s="8" t="inlineStr"/>
    </row>
    <row r="75">
      <c r="A75" s="2" t="n">
        <v>74</v>
      </c>
      <c r="B75" s="3" t="inlineStr">
        <is>
          <t>JD012603/01</t>
        </is>
      </c>
      <c r="C75" s="3" t="inlineStr">
        <is>
          <t>P060362</t>
        </is>
      </c>
      <c r="D75" s="5" t="n">
        <v>46134</v>
      </c>
      <c r="E75" s="5" t="n">
        <v>46134</v>
      </c>
      <c r="F75" s="5" t="n">
        <v>46165</v>
      </c>
      <c r="G75" s="5" t="n">
        <v>46165</v>
      </c>
      <c r="H75" s="5">
        <f>F75</f>
        <v/>
      </c>
      <c r="I75" s="2" t="inlineStr">
        <is>
          <t>JD012603</t>
        </is>
      </c>
      <c r="J75" s="8" t="inlineStr"/>
    </row>
    <row r="76">
      <c r="A76" s="2" t="n">
        <v>75</v>
      </c>
      <c r="B76" s="3" t="inlineStr">
        <is>
          <t>CC012603</t>
        </is>
      </c>
      <c r="C76" s="3" t="inlineStr">
        <is>
          <t>P060372</t>
        </is>
      </c>
      <c r="D76" s="5" t="n">
        <v>46134</v>
      </c>
      <c r="E76" s="5" t="n">
        <v>46134</v>
      </c>
      <c r="F76" s="5" t="n">
        <v>46166</v>
      </c>
      <c r="G76" s="5" t="n">
        <v>46166</v>
      </c>
      <c r="H76" s="5">
        <f>F76</f>
        <v/>
      </c>
      <c r="I76" s="6" t="inlineStr">
        <is>
          <t>— not on the tracker —</t>
        </is>
      </c>
      <c r="J76" s="8" t="inlineStr"/>
    </row>
    <row r="77">
      <c r="A77" s="2" t="n">
        <v>76</v>
      </c>
      <c r="B77" s="3" t="inlineStr">
        <is>
          <t>SCR012603</t>
        </is>
      </c>
      <c r="C77" s="3" t="inlineStr">
        <is>
          <t>P060382</t>
        </is>
      </c>
      <c r="D77" s="5" t="n">
        <v>46134</v>
      </c>
      <c r="E77" s="5" t="n">
        <v>46134</v>
      </c>
      <c r="F77" s="5" t="n">
        <v>46167</v>
      </c>
      <c r="G77" s="5" t="n">
        <v>46167</v>
      </c>
      <c r="H77" s="5">
        <f>F77</f>
        <v/>
      </c>
      <c r="I77" s="2" t="inlineStr">
        <is>
          <t>SCR012603</t>
        </is>
      </c>
      <c r="J77" s="8" t="inlineStr"/>
    </row>
    <row r="78">
      <c r="A78" s="2" t="n">
        <v>77</v>
      </c>
      <c r="B78" s="3" t="inlineStr">
        <is>
          <t>FB012603V</t>
        </is>
      </c>
      <c r="C78" s="3" t="inlineStr">
        <is>
          <t>P060392</t>
        </is>
      </c>
      <c r="D78" s="5" t="n">
        <v>46141</v>
      </c>
      <c r="E78" s="5" t="n">
        <v>46141</v>
      </c>
      <c r="F78" s="5" t="n">
        <v>46165</v>
      </c>
      <c r="G78" s="5" t="n">
        <v>46165</v>
      </c>
      <c r="H78" s="5">
        <f>F78</f>
        <v/>
      </c>
      <c r="I78" s="2" t="inlineStr">
        <is>
          <t>FB012603V</t>
        </is>
      </c>
      <c r="J78" s="8" t="inlineStr"/>
    </row>
    <row r="79">
      <c r="A79" s="2" t="n">
        <v>78</v>
      </c>
      <c r="B79" s="3" t="inlineStr">
        <is>
          <t>GG012603</t>
        </is>
      </c>
      <c r="C79" s="3" t="inlineStr">
        <is>
          <t>P060402</t>
        </is>
      </c>
      <c r="D79" s="5" t="n">
        <v>46146</v>
      </c>
      <c r="E79" s="5" t="n">
        <v>46146</v>
      </c>
      <c r="F79" s="5" t="n">
        <v>46166</v>
      </c>
      <c r="G79" s="5" t="n">
        <v>46166</v>
      </c>
      <c r="H79" s="5">
        <f>F79</f>
        <v/>
      </c>
      <c r="I79" s="2" t="inlineStr">
        <is>
          <t>GG012603</t>
        </is>
      </c>
      <c r="J79" s="8" t="inlineStr"/>
    </row>
    <row r="80">
      <c r="A80" s="2" t="n">
        <v>79</v>
      </c>
      <c r="B80" s="3" t="inlineStr">
        <is>
          <t>JD012603/02</t>
        </is>
      </c>
      <c r="C80" s="3" t="inlineStr">
        <is>
          <t>P060412</t>
        </is>
      </c>
      <c r="D80" s="5" t="n">
        <v>46146</v>
      </c>
      <c r="E80" s="5" t="n">
        <v>46146</v>
      </c>
      <c r="F80" s="5" t="n">
        <v>46166</v>
      </c>
      <c r="G80" s="5" t="n">
        <v>46166</v>
      </c>
      <c r="H80" s="5">
        <f>F80</f>
        <v/>
      </c>
      <c r="I80" s="2" t="inlineStr">
        <is>
          <t>JD012603</t>
        </is>
      </c>
      <c r="J80" s="8" t="inlineStr"/>
    </row>
    <row r="81">
      <c r="A81" s="2" t="n">
        <v>80</v>
      </c>
      <c r="B81" s="3" t="inlineStr">
        <is>
          <t>JD012603/02V</t>
        </is>
      </c>
      <c r="C81" s="3" t="inlineStr">
        <is>
          <t>P060422</t>
        </is>
      </c>
      <c r="D81" s="5" t="n">
        <v>46141</v>
      </c>
      <c r="E81" s="5" t="n">
        <v>46141</v>
      </c>
      <c r="F81" s="5" t="n">
        <v>46165</v>
      </c>
      <c r="G81" s="5" t="n">
        <v>46165</v>
      </c>
      <c r="H81" s="5">
        <f>F81</f>
        <v/>
      </c>
      <c r="I81" s="2" t="inlineStr">
        <is>
          <t>JD012603</t>
        </is>
      </c>
      <c r="J81" s="8" t="inlineStr"/>
    </row>
    <row r="82">
      <c r="A82" s="2" t="n">
        <v>81</v>
      </c>
      <c r="B82" s="3" t="inlineStr">
        <is>
          <t>FB012603</t>
        </is>
      </c>
      <c r="C82" s="3" t="inlineStr">
        <is>
          <t>P060432</t>
        </is>
      </c>
      <c r="D82" s="5" t="n">
        <v>46146</v>
      </c>
      <c r="E82" s="5" t="n">
        <v>46146</v>
      </c>
      <c r="F82" s="5" t="n">
        <v>46188</v>
      </c>
      <c r="G82" s="5" t="n">
        <v>46188</v>
      </c>
      <c r="H82" s="5">
        <f>F82</f>
        <v/>
      </c>
      <c r="I82" s="2" t="inlineStr">
        <is>
          <t>FB012603</t>
        </is>
      </c>
      <c r="J82" s="8" t="inlineStr"/>
    </row>
    <row r="83">
      <c r="A83" s="2" t="n">
        <v>82</v>
      </c>
      <c r="B83" s="3" t="inlineStr">
        <is>
          <t>SCR022601</t>
        </is>
      </c>
      <c r="C83" s="3" t="inlineStr">
        <is>
          <t>P060442</t>
        </is>
      </c>
      <c r="D83" s="5" t="n">
        <v>46155</v>
      </c>
      <c r="E83" s="5" t="n">
        <v>46155</v>
      </c>
      <c r="F83" s="5" t="n">
        <v>46191</v>
      </c>
      <c r="G83" s="5" t="n">
        <v>46191</v>
      </c>
      <c r="H83" s="5">
        <f>F83</f>
        <v/>
      </c>
      <c r="I83" s="2" t="inlineStr">
        <is>
          <t>SCR022601</t>
        </is>
      </c>
      <c r="J83" s="8" t="inlineStr"/>
    </row>
    <row r="84">
      <c r="A84" s="2" t="n">
        <v>83</v>
      </c>
      <c r="B84" s="3" t="inlineStr">
        <is>
          <t>FB032601</t>
        </is>
      </c>
      <c r="C84" s="3" t="inlineStr">
        <is>
          <t>P060452</t>
        </is>
      </c>
      <c r="D84" s="5" t="n">
        <v>46175</v>
      </c>
      <c r="E84" s="5" t="n">
        <v>46175</v>
      </c>
      <c r="F84" s="5" t="n">
        <v>46202</v>
      </c>
      <c r="G84" s="5" t="n">
        <v>46202</v>
      </c>
      <c r="H84" s="5">
        <f>F84</f>
        <v/>
      </c>
      <c r="I84" s="2" t="inlineStr">
        <is>
          <t>FB032601</t>
        </is>
      </c>
      <c r="J84" s="8" t="inlineStr"/>
    </row>
    <row r="85">
      <c r="A85" s="2" t="n">
        <v>84</v>
      </c>
      <c r="B85" s="3" t="inlineStr">
        <is>
          <t>GG032601</t>
        </is>
      </c>
      <c r="C85" s="3" t="inlineStr">
        <is>
          <t>P060462</t>
        </is>
      </c>
      <c r="D85" s="5" t="n">
        <v>46189</v>
      </c>
      <c r="E85" s="5" t="n">
        <v>46189</v>
      </c>
      <c r="F85" s="5" t="n">
        <v>46219</v>
      </c>
      <c r="G85" s="5" t="n">
        <v>46219</v>
      </c>
      <c r="H85" s="5">
        <f>F85</f>
        <v/>
      </c>
      <c r="I85" s="2" t="inlineStr">
        <is>
          <t>GG032601</t>
        </is>
      </c>
      <c r="J85" s="8" t="inlineStr"/>
    </row>
    <row r="86">
      <c r="A86" s="2" t="n">
        <v>85</v>
      </c>
      <c r="B86" s="3" t="inlineStr">
        <is>
          <t>JD032601</t>
        </is>
      </c>
      <c r="C86" s="3" t="inlineStr">
        <is>
          <t>P060472</t>
        </is>
      </c>
      <c r="D86" s="5" t="n">
        <v>46197</v>
      </c>
      <c r="E86" s="5" t="n">
        <v>46197</v>
      </c>
      <c r="F86" s="5" t="n">
        <v>46224</v>
      </c>
      <c r="G86" s="5" t="n">
        <v>46224</v>
      </c>
      <c r="H86" s="5">
        <f>F86</f>
        <v/>
      </c>
      <c r="I86" s="6" t="inlineStr">
        <is>
          <t>— not on the tracker —</t>
        </is>
      </c>
      <c r="J86" s="8" t="inlineStr"/>
    </row>
    <row r="87">
      <c r="A87" s="2" t="n">
        <v>86</v>
      </c>
      <c r="B87" s="3" t="inlineStr">
        <is>
          <t>JD022601</t>
        </is>
      </c>
      <c r="C87" s="3" t="inlineStr">
        <is>
          <t>P060482</t>
        </is>
      </c>
      <c r="D87" s="5" t="n">
        <v>46160</v>
      </c>
      <c r="E87" s="5" t="n">
        <v>46160</v>
      </c>
      <c r="F87" s="5" t="n">
        <v>46239</v>
      </c>
      <c r="G87" s="5" t="n">
        <v>46239</v>
      </c>
      <c r="H87" s="5">
        <f>F87</f>
        <v/>
      </c>
      <c r="I87" s="2" t="inlineStr">
        <is>
          <t>JD022601</t>
        </is>
      </c>
      <c r="J87" s="8" t="inlineStr"/>
    </row>
    <row r="88">
      <c r="A88" s="2" t="n">
        <v>87</v>
      </c>
      <c r="B88" s="3" t="inlineStr">
        <is>
          <t>JD042601</t>
        </is>
      </c>
      <c r="C88" s="3" t="inlineStr">
        <is>
          <t>P060492</t>
        </is>
      </c>
      <c r="D88" s="5" t="n">
        <v>46224</v>
      </c>
      <c r="E88" s="5" t="n">
        <v>46224</v>
      </c>
      <c r="F88" s="5" t="n">
        <v>46247</v>
      </c>
      <c r="G88" s="5" t="n">
        <v>46247</v>
      </c>
      <c r="H88" s="5">
        <f>F88</f>
        <v/>
      </c>
      <c r="I88" s="6" t="inlineStr">
        <is>
          <t>— not on the tracker —</t>
        </is>
      </c>
      <c r="J88" s="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4"/>
  <sheetViews>
    <sheetView workbookViewId="0">
      <selection activeCell="A1" sqref="A1"/>
    </sheetView>
  </sheetViews>
  <sheetFormatPr baseColWidth="8" defaultRowHeight="15"/>
  <cols>
    <col width="120" customWidth="1" min="1" max="1"/>
  </cols>
  <sheetData>
    <row r="1">
      <c r="A1" s="12" t="inlineStr">
        <is>
          <t>iCoA and CoQ Issuance Registers — preliminary — built with CoQ Analysis Master v11 on 05.09.2026</t>
        </is>
      </c>
    </row>
    <row r="2" ht="150" customHeight="1">
      <c r="A2" s="13" t="inlineStr">
        <is>
          <t>Head of QC, 05.09.2026: preliminary iCoA issuance register — ONE iCoA per P lot for identification A, B and foreign matter, tested at packaging (the first day). Codes iCoA-PP_26-nnn (nnn = 001 … 999), one series for the year of issue, in the order of issue: LEGACY lots (packed before the SOP floor of 11.05.2026, or holding an old in-house QCCoA 001 certificate) are all issued on 15.05.2026, in chronological order of packaging; POST-SOP lots follow, each on the first working day 5 days after its packaging. No number is reserved for a row that cannot be issued yet (a lot without a packaging date, a held result, every retest iCoA, whose sampling date is not on the desk); where a CNP certificate reports all three, no iCoA is needed. FORMULAS: No. counts the issuable rows above it; the code is built from No.; the planned date is 15.05.2026 for a legacy row, else the first working day 5 days after Packaging complete; the packaging dates are looked up on Batch Dates by P batch (else by the batch as listed); CoQ (register) is looked up on the CoQ Register by Key. Insert a row, set Issuable to yes, and every code beneath moves by one — the iCoA Issuance sheet and the tracker cite this register by Key, so they follow. Rows are not re-sorted by a formula: a changed date that changes the order is a manual move. Working days are Monday to Friday; public holidays are not applied.</t>
        </is>
      </c>
    </row>
    <row r="3" ht="190" customHeight="1">
      <c r="A3" s="13" t="inlineStr">
        <is>
          <t>Head of QC, 05.09.2026: preliminary CoQ issuance register — codes CoQ-PP_26-nnn (nnn = 001 … 999), one series for the year of issue, in the order of issue. LEGACY lots (packed before the SOP floor of 11.05.2026, or holding an old in-house QCCoA 001 certificate, which the CoQ supersedes) are all issued on 27.05.2026, in chronological order of packaging; POST-SOP lots follow, each on the first working day 7 days after the latest eCoA the CoQ cites and never before 27.05.2026, so the legacy series keeps 001 onward. Every CoQ cites its lot's iCoA (identification A, B, foreign matter) and reports identification C as 'Conforms', referenced to the eCoA that covers Total THC. ADHERENCE (ISSUE_COQ_CONVENTIONS): a CoQ never precedes a document it cites — a legacy lot whose latest eCoA is dated after 27.05.2026 takes the post-SOP rule and is flagged in Status; a CoQ never precedes its iCoA; Head of QC, 05.09.2026 (evening): a production lot whose initial certificate for a determination is not on file keeps its planned CoQ and number — the initial testing exists at the Faculty of Pharmacy's Center for Natural Products and the certificate is to be located (Work Order; Status names the determination); a certificate dated on or after 01.07.2026 is a retest document (the QP's campaign: Tranche 1, the first 21 lots, sampled July 2026; then Tranches 2 and 3) and never certifies the initial CoQ — a determination whose only certificate is a retest one is uncertified for the legacy CoQ and flagged; nothing is dated on a weekend. RETEST ROWS: the reissued CoQ carries the retest results (cannabinoids with identification C by Farmahem, mycotoxins, microbiology by IJZ-MB) and the initial certificates for the rest; its rule date is the first working day 7 days after the latest retest certificate, and it is issued once the in-house retest iCoA exists. FORMULAS: No. and the code as on the iCoA Register; Rule date is 27.05.2026 for a legacy row whose latest eCoA is on or before it, else the first working day 7 days after the latest eCoA (not before 27.05.2026); the planned date is the latest of the rule date, the iCoA's date and the lot's last day of packaging; iCoA (register) and its date are looked up on the iCoA Register by Key. The latest eCoA cited is a value (the first credited certificate per determination dated before the retest campaign; for a retest row, the latest retest certificate), recomputed by the builder. Working days are Monday to Friday; public holidays are not applied. FLAGS: P060272: post-SOP CoQ rule date 18.05.2026 precedes the legacy series day 27.05.2026 — held to it, so the legacy CoQs keep 001 onward | P060322: post-SOP CoQ rule date 18.05.2026 precedes the legacy series day 27.05.2026 — held to it, so the legacy CoQs keep 001 onward | P060292: post-SOP CoQ rule date 18.05.2026 precedes the legacy series day 27.05.2026 — held to it, so the legacy CoQs keep 001 onward | P060302: post-SOP CoQ rule date 18.05.2026 precedes the legacy series day 27.05.2026 — held to it, so the legacy CoQs keep 001 onward | P060402: no initial certificate for #10 — only the retest 197-8-M-26 of 10.08.2026; the post-SOP CoQ cannot cite it (Head of QC to rule: report as not tested at initial testing, or wait for the reissue) | P060142: no initial certificate for #9 — only the retest 550-1081-26 of 01.09.2026; the legacy CoQ cannot cite it (Head of QC to rule: report as not tested at initial testing, or wait for the reissue) | P060182: no initial certificate for #9 — only the retest 550-1081-26 of 01.09.2026; the legacy CoQ cannot cite it (Head of QC to rule: report as not tested at initial testing, or wait for the reissue) | HPA1024: no initial certificate for #3, #4, #5, #6, #8, #10 — only the retest 197-13-K-26 of 07.08.2026 / 197-13-M-26 of 10.08.2026; the legacy CoQ cannot cite it (Head of QC to rule: report as not tested at initial testing, or wait for the reissue) | P060152: no initial certificate for #10 — only the retest 197-16-M-26 of 10.08.2026; the legacy CoQ cannot cite it (Head of QC to rule: report as not tested at initial testing, or wait for the reissue) | P060202: no initial certificate for #9 — only the retest 547-1078-26 of 31.08.2026; the legacy CoQ cannot cite it (Head of QC to rule: report as not tested at initial testing, or wait for the reissue) | P060262: post-SOP CoQ rule date 30.04.2026 precedes the legacy series day 27.05.2026 — held to it, so the legacy CoQs keep 001 onward | P060312: post-SOP CoQ rule date 18.05.2026 precedes the legacy series day 27.05.2026 — held to it, so the legacy CoQs keep 001 onward | P060482: CoQ rule date 07.07.2026 precedes the packaging of the lot (05.08.2026) — held to the packaging date | OPM1024: no initial certificate for #3, #4, #5, #6, #8, #10 — only the retest 197-17-K-26 of 07.08.2026 / 197-17-M-26 of 10.08.2026; the legacy CoQ cannot cite it (Head of QC to rule: report as not tested at initial testing, or wait for the reissue) | P060222: no initial certificate for #9 — only the retest 546-1077-26 of 31.08.2026; the legacy CoQ cannot cite it (Head of QC to rule: report as not tested at initial testing, or wait for the reissue) | P060332: no initial certificate on file — the CoQ keeps its planned number with a provisional date 27.05.2026 | P060332: no initial certificate for #3, #4, #5, #6, #8, #10 — only the retest 197-6-K-26 of 07.08.2026 / 197-6-M-26 of 10.08.2026; the post-SOP CoQ cannot cite it (Head of QC to rule: report as not tested at initial testing, or wait for the reissue) | P060352: no initial certificate on file — the CoQ keeps its planned number with a provisional date 28.05.2026 | P060352: no initial certificate for #3, #4, #5, #6, #8, #10 — only the retest 197-7-K-26 of 07.08.2026 / 197-7-M-26 of 10.08.2026; the post-SOP CoQ cannot cite it (Head of QC to rule: report as not tested at initial testing, or wait for the reissue) | P060382: no initial certificate on file — the CoQ keeps its planned number with a provisional date 01.06.2026 | P060382: no initial certificate for #3, #4, #5, #6, #8, #10 — only the retest 197-21-K-26 of 07.08.2026 / 197-21-M-26 of 10.08.2026; the post-SOP CoQ cannot cite it (Head of QC to rule: report as not tested at initial testing, or wait for the reissue) | P060282: post-SOP CoQ rule date 18.05.2026 precedes the legacy series day 27.05.2026 — held to it, so the legacy CoQs keep 001 onward | P060162: no initial certificate for #9 — only the retest 549-1080-26 of 31.08.2026; the legacy CoQ cannot cite it (Head of QC to rule: report as not tested at initial testing, or wait for the reissue) | P050142: no initial certificate for #9 — only the retest 559-1090-26 of 01.09.2026; the legacy CoQ cannot cite it (Head of QC to rule: report as not tested at initial testing, or wait for the reissue) | P060102: no initial certificate for #9 — only the retest 551-1082-26 of 01.09.2026; the legacy CoQ cannot cite it (Head of QC to rule: report as not tested at initial testing, or wait for the reissue)</t>
        </is>
      </c>
    </row>
    <row r="4">
      <c r="A4" s="13" t="inlineStr">
        <is>
          <t>Source: CoQ_Analysis_Master_v11.xlsx, sheets iCoA Issuance and Batch Dates; dates from the Head of QC's list of 04.09.2026; the issuance plan of 31.08.2026 for the plan references.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2026-09-05T23:56:29Z</dcterms:created>
  <dcterms:modified xmlns:dcterms="http://purl.org/dc/terms/" xmlns:xsi="http://www.w3.org/2001/XMLSchema-instance" xsi:type="dcterms:W3CDTF">2026-09-05T23:56:29Z</dcterms:modified>
</cp:coreProperties>
</file>