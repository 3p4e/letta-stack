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031-3-К-26, (10.02.2026) [FHM-K]</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031-2-К-26, (10.02.2026) [FHM-K]</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031-5-К-26, (10.02.2026) [FHM-K]</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031-4-К-26, (10.02.2026) [FHM-K]</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n">
        <v>45720</v>
      </c>
      <c r="G5" s="2" t="inlineStr">
        <is>
          <t>748-2025</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2" t="inlineStr">
        <is>
          <t>031-3-К-26, (10.02.2026) [FHM-K]</t>
        </is>
      </c>
      <c r="P47" s="6" t="inlineStr">
        <is>
          <t>—</t>
        </is>
      </c>
      <c r="Q47" s="2" t="inlineStr">
        <is>
          <t>—</t>
        </is>
      </c>
      <c r="R47" s="2" t="inlineStr">
        <is>
          <t>(assigned on issue)</t>
        </is>
      </c>
      <c r="S47" s="2" t="inlineStr">
        <is>
          <t>P060102|I</t>
        </is>
      </c>
      <c r="T47" s="7" t="inlineStr">
        <is>
          <t>registered — legacy series, issued 06.06.2026 · initial certificate to locate: #9 (IJZ)</t>
        </is>
      </c>
      <c r="U47" s="2" t="inlineStr">
        <is>
          <t>n/a — initial certificate</t>
        </is>
      </c>
      <c r="V47" s="10" t="n">
        <v>22.05</v>
      </c>
      <c r="W47" s="2" t="inlineStr">
        <is>
          <t>031-3-К/26</t>
        </is>
      </c>
      <c r="X47" s="2" t="inlineStr">
        <is>
          <t>—</t>
        </is>
      </c>
      <c r="Y47" s="2" t="inlineStr">
        <is>
          <t>—</t>
        </is>
      </c>
      <c r="Z47" s="2" t="inlineStr">
        <is>
          <t>—</t>
        </is>
      </c>
      <c r="AA47" s="2" t="inlineStr">
        <is>
          <t>QCSP_001_WED-II_v.01</t>
        </is>
      </c>
      <c r="AB47" s="11" t="inlineStr">
        <is>
          <t>for review — new specification required</t>
        </is>
      </c>
      <c r="AC47" s="8" t="inlineStr">
        <is>
          <t>new specification required — 22.05 % is in no window of WED (nearest 23.40 – 28.59); nominal and tolerance to define, numeral II</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n">
        <v>46064</v>
      </c>
      <c r="G48" s="2" t="inlineStr">
        <is>
          <t>031-2-ГС-26</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2" t="inlineStr">
        <is>
          <t>031-2-К-26, (10.02.2026) [FHM-K]</t>
        </is>
      </c>
      <c r="P48" s="6" t="inlineStr">
        <is>
          <t>—</t>
        </is>
      </c>
      <c r="Q48" s="2" t="inlineStr">
        <is>
          <t>—</t>
        </is>
      </c>
      <c r="R48" s="2" t="inlineStr">
        <is>
          <t>CoQ-PP-2026-0009</t>
        </is>
      </c>
      <c r="S48" s="2" t="inlineStr">
        <is>
          <t>P060112|I</t>
        </is>
      </c>
      <c r="T48" s="7" t="inlineStr">
        <is>
          <t>registered — legacy series, issued 06.06.2026 · initial certificate to locate: #4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n">
        <v>46065</v>
      </c>
      <c r="G49" s="2" t="inlineStr">
        <is>
          <t>031-5-ГС-26</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2" t="inlineStr">
        <is>
          <t>031-5-К-26, (10.02.2026) [FHM-K]</t>
        </is>
      </c>
      <c r="P49" s="6" t="inlineStr">
        <is>
          <t>—</t>
        </is>
      </c>
      <c r="Q49" s="2" t="inlineStr">
        <is>
          <t>—</t>
        </is>
      </c>
      <c r="R49" s="2" t="inlineStr">
        <is>
          <t>CoQ-PP-2026-0010</t>
        </is>
      </c>
      <c r="S49" s="2" t="inlineStr">
        <is>
          <t>P060122|I</t>
        </is>
      </c>
      <c r="T49" s="7" t="inlineStr">
        <is>
          <t>registered — legacy series, issued 06.06.2026</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n">
        <v>46065</v>
      </c>
      <c r="G50" s="2" t="inlineStr">
        <is>
          <t>031-4-ГС-26</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2" t="inlineStr">
        <is>
          <t>031-4-К-26, (10.02.2026) [FHM-K]</t>
        </is>
      </c>
      <c r="P50" s="6" t="inlineStr">
        <is>
          <t>—</t>
        </is>
      </c>
      <c r="Q50" s="2" t="inlineStr">
        <is>
          <t>—</t>
        </is>
      </c>
      <c r="R50" s="2" t="inlineStr">
        <is>
          <t>CoQ-PP-2026-0011</t>
        </is>
      </c>
      <c r="S50" s="2" t="inlineStr">
        <is>
          <t>P060132|I</t>
        </is>
      </c>
      <c r="T50" s="7" t="inlineStr">
        <is>
          <t>registered — legacy series, issued 06.06.2026</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46090</v>
      </c>
      <c r="G52" s="2" t="inlineStr">
        <is>
          <t>1056-2026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46092</v>
      </c>
      <c r="G53" s="2" t="inlineStr">
        <is>
          <t>1065-2026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46090</v>
      </c>
      <c r="G54" s="2" t="inlineStr">
        <is>
          <t>1058-2026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46090</v>
      </c>
      <c r="G55" s="2" t="inlineStr">
        <is>
          <t>1060-2026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46090</v>
      </c>
      <c r="G56" s="2" t="inlineStr">
        <is>
          <t>1061-2026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46090</v>
      </c>
      <c r="G57" s="2" t="inlineStr">
        <is>
          <t>1057-2026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46092</v>
      </c>
      <c r="G59" s="2" t="inlineStr">
        <is>
          <t>1062-2026</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46090</v>
      </c>
      <c r="G60" s="2" t="inlineStr">
        <is>
          <t>1059-2026</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n">
        <v>46153</v>
      </c>
      <c r="G69" s="2" t="inlineStr">
        <is>
          <t>ППК26067</t>
        </is>
      </c>
      <c r="H69" s="2">
        <f>IFERROR(INDEX('iCoA Register'!$B:$B,MATCH("P060322|I",'iCoA Register'!$AA:$AA,0)),"—")</f>
        <v/>
      </c>
      <c r="I69" s="5">
        <f>IFERROR(INDEX('iCoA Register'!$D:$D,MATCH("P060322|I",'iCoA Register'!$AA:$AA,0)),"")</f>
        <v/>
      </c>
      <c r="J69" s="2" t="inlineStr">
        <is>
          <t>post-SOP</t>
        </is>
      </c>
      <c r="K69" s="2" t="inlineStr">
        <is>
          <t>initial release</t>
        </is>
      </c>
      <c r="L69" s="3" t="inlineStr">
        <is>
          <t>FB012601_1</t>
        </is>
      </c>
      <c r="M69" s="2" t="inlineStr">
        <is>
          <t>P060322</t>
        </is>
      </c>
      <c r="N69" s="2" t="inlineStr">
        <is>
          <t>Fat Bastard</t>
        </is>
      </c>
      <c r="O69" s="2" t="inlineStr">
        <is>
          <t>ППК26067, (11.05.2026) [CNP]</t>
        </is>
      </c>
      <c r="P69" s="6" t="inlineStr">
        <is>
          <t>—</t>
        </is>
      </c>
      <c r="Q69" s="2" t="inlineStr">
        <is>
          <t>—</t>
        </is>
      </c>
      <c r="R69" s="2" t="inlineStr">
        <is>
          <t>CoQ-PP-2026-0019</t>
        </is>
      </c>
      <c r="S69" s="2" t="inlineStr">
        <is>
          <t>P060322|I</t>
        </is>
      </c>
      <c r="T69" s="7" t="inlineStr">
        <is>
          <t>registered — rule date 18.05.2026 held to the legacy series day</t>
        </is>
      </c>
      <c r="U69" s="2" t="inlineStr">
        <is>
          <t>n/a — initial certificate</t>
        </is>
      </c>
      <c r="V69" s="10" t="n">
        <v>14.68</v>
      </c>
      <c r="W69" s="2" t="inlineStr">
        <is>
          <t>ППК26067</t>
        </is>
      </c>
      <c r="X69" s="2" t="inlineStr">
        <is>
          <t>15.00 ± 1.20 (III)</t>
        </is>
      </c>
      <c r="Y69" s="2" t="inlineStr">
        <is>
          <t>13.80 – 16.19 %</t>
        </is>
      </c>
      <c r="Z69" s="2" t="inlineStr">
        <is>
          <t>FB_THC15 : CBD1</t>
        </is>
      </c>
      <c r="AA69" s="2" t="inlineStr">
        <is>
          <t>QCSP_001_FB-III_v.01</t>
        </is>
      </c>
      <c r="AB69" s="8" t="inlineStr">
        <is>
          <t>for review — replaces the issued QCSP_001_FB-III_v.01 (was FB_THC16 : CBD1, 14.86 – 17.14 %); now FB_THC15 : CBD1 13.80 – 16.19 %</t>
        </is>
      </c>
      <c r="AC69" s="11" t="inlineStr"/>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Register'!$B:$B,MATCH("P060342|I",'iCoA Register'!$AA:$AA,0)),"—")</f>
        <v/>
      </c>
      <c r="I70" s="5">
        <f>IFERROR(INDEX('iCoA Register'!$D:$D,MATCH("P060342|I",'iCoA Register'!$AA:$AA,0)),"")</f>
        <v/>
      </c>
      <c r="J70" s="2" t="inlineStr">
        <is>
          <t>post-SOP</t>
        </is>
      </c>
      <c r="K70" s="2" t="inlineStr">
        <is>
          <t>initial release</t>
        </is>
      </c>
      <c r="L70" s="3" t="inlineStr">
        <is>
          <t>SCR012601*</t>
        </is>
      </c>
      <c r="M70" s="2" t="inlineStr">
        <is>
          <t>P060342</t>
        </is>
      </c>
      <c r="N70" s="2" t="inlineStr">
        <is>
          <t>Scrambler</t>
        </is>
      </c>
      <c r="O70" s="6" t="inlineStr">
        <is>
          <t>— no cannabinoid certificate from the initial testing —</t>
        </is>
      </c>
      <c r="P70" s="6" t="inlineStr">
        <is>
          <t>—</t>
        </is>
      </c>
      <c r="Q70" s="2" t="inlineStr">
        <is>
          <t>—</t>
        </is>
      </c>
      <c r="R70" s="2" t="inlineStr">
        <is>
          <t>(assigned on issue)</t>
        </is>
      </c>
      <c r="S70" s="2" t="inlineStr">
        <is>
          <t>P060342|I</t>
        </is>
      </c>
      <c r="T70" s="7" t="inlineStr">
        <is>
          <t>registered — provisional date: no initial certificate on file yet — the date follows the latest eCoA once located · initial certificate to locate: #3 (CNP), #4 (CNP), #5 (CNP), #6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n">
        <v>46174</v>
      </c>
      <c r="G71" s="2" t="inlineStr">
        <is>
          <t>361-0691-26</t>
        </is>
      </c>
      <c r="H71" s="2">
        <f>IFERROR(INDEX('iCoA Register'!$B:$B,MATCH("P060332|I",'iCoA Register'!$AA:$AA,0)),"—")</f>
        <v/>
      </c>
      <c r="I71" s="5">
        <f>IFERROR(INDEX('iCoA Register'!$D:$D,MATCH("P060332|I",'iCoA Register'!$AA:$AA,0)),"")</f>
        <v/>
      </c>
      <c r="J71" s="2" t="inlineStr">
        <is>
          <t>post-SOP</t>
        </is>
      </c>
      <c r="K71" s="2" t="inlineStr">
        <is>
          <t>initial release</t>
        </is>
      </c>
      <c r="L71" s="3" t="inlineStr">
        <is>
          <t>CC012601/1</t>
        </is>
      </c>
      <c r="M71" s="2" t="inlineStr">
        <is>
          <t>P060332</t>
        </is>
      </c>
      <c r="N71" s="2" t="inlineStr">
        <is>
          <t>Cash Cow</t>
        </is>
      </c>
      <c r="O71" s="6" t="inlineStr">
        <is>
          <t>— no cannabinoid certificate from the initial testing —</t>
        </is>
      </c>
      <c r="P71" s="6" t="inlineStr">
        <is>
          <t>—</t>
        </is>
      </c>
      <c r="Q71" s="2" t="inlineStr">
        <is>
          <t>—</t>
        </is>
      </c>
      <c r="R71" s="2" t="inlineStr">
        <is>
          <t>(assigned on issue)</t>
        </is>
      </c>
      <c r="S71" s="2" t="inlineStr">
        <is>
          <t>P060332|I</t>
        </is>
      </c>
      <c r="T71" s="7" t="inlineStr">
        <is>
          <t>registered — first working day 7 days after the latest eCoA · initial certificate to locate: #3 (CNP), #4 (CNP), #5 (CNP), #6 (CNP), #8 (CNP),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n">
        <v>46174</v>
      </c>
      <c r="G72" s="2" t="inlineStr">
        <is>
          <t>366-0696-26</t>
        </is>
      </c>
      <c r="H72" s="2">
        <f>IFERROR(INDEX('iCoA Register'!$B:$B,MATCH("P060352|I",'iCoA Register'!$AA:$AA,0)),"—")</f>
        <v/>
      </c>
      <c r="I72" s="5">
        <f>IFERROR(INDEX('iCoA Register'!$D:$D,MATCH("P060352|I",'iCoA Register'!$AA:$AA,0)),"")</f>
        <v/>
      </c>
      <c r="J72" s="2" t="inlineStr">
        <is>
          <t>post-SOP</t>
        </is>
      </c>
      <c r="K72" s="2" t="inlineStr">
        <is>
          <t>initial release</t>
        </is>
      </c>
      <c r="L72" s="3" t="inlineStr">
        <is>
          <t>FB012602*</t>
        </is>
      </c>
      <c r="M72" s="2" t="inlineStr">
        <is>
          <t>P060352</t>
        </is>
      </c>
      <c r="N72" s="2" t="inlineStr">
        <is>
          <t>Fat Bastard</t>
        </is>
      </c>
      <c r="O72" s="6" t="inlineStr">
        <is>
          <t>— no cannabinoid certificate from the initial testing —</t>
        </is>
      </c>
      <c r="P72" s="6" t="inlineStr">
        <is>
          <t>—</t>
        </is>
      </c>
      <c r="Q72" s="2" t="inlineStr">
        <is>
          <t>—</t>
        </is>
      </c>
      <c r="R72" s="2" t="inlineStr">
        <is>
          <t>CoQ-PP-2026-0021</t>
        </is>
      </c>
      <c r="S72" s="2" t="inlineStr">
        <is>
          <t>P060352|I</t>
        </is>
      </c>
      <c r="T72" s="7" t="inlineStr">
        <is>
          <t>registered — first working day 7 days after the latest eCoA · initial certificate to locate: #3 (CNP), #4 (CNP), #5 (CNP), #6 (CNP), #8 (CNP),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n">
        <v>46174</v>
      </c>
      <c r="G73" s="2" t="inlineStr">
        <is>
          <t>365-0695-26</t>
        </is>
      </c>
      <c r="H73" s="2">
        <f>IFERROR(INDEX('iCoA Register'!$B:$B,MATCH("P060362|I",'iCoA Register'!$AA:$AA,0)),"—")</f>
        <v/>
      </c>
      <c r="I73" s="5">
        <f>IFERROR(INDEX('iCoA Register'!$D:$D,MATCH("P060362|I",'iCoA Register'!$AA:$AA,0)),"")</f>
        <v/>
      </c>
      <c r="J73" s="2" t="inlineStr">
        <is>
          <t>post-SOP</t>
        </is>
      </c>
      <c r="K73" s="2" t="inlineStr">
        <is>
          <t>initial release</t>
        </is>
      </c>
      <c r="L73" s="3" t="inlineStr">
        <is>
          <t>JD012603</t>
        </is>
      </c>
      <c r="M73" s="2" t="inlineStr">
        <is>
          <t>P060362</t>
        </is>
      </c>
      <c r="N73" s="2" t="inlineStr">
        <is>
          <t>Jelly Donuts</t>
        </is>
      </c>
      <c r="O73" s="6" t="inlineStr">
        <is>
          <t>— no cannabinoid certificate from the initial testing —</t>
        </is>
      </c>
      <c r="P73" s="2" t="inlineStr">
        <is>
          <t>A: ППК26111 / B: ППК26111 / FM: ППК26111</t>
        </is>
      </c>
      <c r="Q73" s="2" t="inlineStr">
        <is>
          <t>—</t>
        </is>
      </c>
      <c r="R73" s="2" t="inlineStr">
        <is>
          <t>CoQ-PP-2026-0020</t>
        </is>
      </c>
      <c r="S73" s="2" t="inlineStr">
        <is>
          <t>P060362|I</t>
        </is>
      </c>
      <c r="T73" s="7" t="inlineStr">
        <is>
          <t>registered — first working day 7 days after the latest eCoA · initial certificate to locate: #1 (CNP), #2 (CNP), #3 (CNP), #4 (CNP), #5 (CNP), #6 (CNP), #7 (CNP), #8 (CNP),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n">
        <v>46174</v>
      </c>
      <c r="G74" s="2" t="inlineStr">
        <is>
          <t>363-0693-26</t>
        </is>
      </c>
      <c r="H74" s="2">
        <f>IFERROR(INDEX('iCoA Register'!$B:$B,MATCH("P060372|I",'iCoA Register'!$AA:$AA,0)),"—")</f>
        <v/>
      </c>
      <c r="I74" s="5">
        <f>IFERROR(INDEX('iCoA Register'!$D:$D,MATCH("P060372|I",'iCoA Register'!$AA:$AA,0)),"")</f>
        <v/>
      </c>
      <c r="J74" s="2" t="inlineStr">
        <is>
          <t>post-SOP</t>
        </is>
      </c>
      <c r="K74" s="2" t="inlineStr">
        <is>
          <t>initial release</t>
        </is>
      </c>
      <c r="L74" s="3" t="inlineStr">
        <is>
          <t>CC012603</t>
        </is>
      </c>
      <c r="M74" s="2" t="inlineStr">
        <is>
          <t>P060372</t>
        </is>
      </c>
      <c r="N74" s="2" t="inlineStr">
        <is>
          <t>Cash Cow</t>
        </is>
      </c>
      <c r="O74" s="6" t="inlineStr">
        <is>
          <t>— no cannabinoid certificate from the initial testing —</t>
        </is>
      </c>
      <c r="P74" s="6" t="inlineStr">
        <is>
          <t>—</t>
        </is>
      </c>
      <c r="Q74" s="2" t="inlineStr">
        <is>
          <t>—</t>
        </is>
      </c>
      <c r="R74" s="2" t="inlineStr">
        <is>
          <t>CoQ-PP-2026-0024</t>
        </is>
      </c>
      <c r="S74" s="2" t="inlineStr">
        <is>
          <t>P060372|I</t>
        </is>
      </c>
      <c r="T74" s="7" t="inlineStr">
        <is>
          <t>registered — first working day 7 days after the latest eCoA · initial certificate to locate: #3 (CNP), #4 (CNP), #5 (CNP), #6 (CNP), #8 (CNP),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n">
        <v>46174</v>
      </c>
      <c r="G75" s="2" t="inlineStr">
        <is>
          <t>364-0694-26</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first working day 7 days after the latest eCoA · initial certificate to locate: #3 (CNP), #4 (CNP), #5 (CNP), #6 (CNP), #8 (CNP),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#11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is>
          <t>Cash Cow</t>
        </is>
      </c>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is>
          <t>Grape Pie</t>
        </is>
      </c>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28.00 ± 2.00 (I)</t>
        </is>
      </c>
      <c r="Y169" s="2" t="inlineStr">
        <is>
          <t>26.00 – 29.99 %</t>
        </is>
      </c>
      <c r="Z169" s="2" t="inlineStr">
        <is>
          <t>GP_THC28 : CBD1</t>
        </is>
      </c>
      <c r="AA169" s="2" t="inlineStr">
        <is>
          <t>QCSP_001_GP-I_v.01</t>
        </is>
      </c>
      <c r="AB169" s="8" t="inlineStr">
        <is>
          <t>for review — replaces the issued QCSP_001_GP-I_v.01 (was GP_THC28 : CBD1, 26.61 – 29.39 %); now GP_THC28 : CBD1 26.00 – 29.99 %</t>
        </is>
      </c>
      <c r="AC169" s="11" t="inlineStr"/>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is>
          <t>Grape Pie</t>
        </is>
      </c>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24.00 ± 2.00 (II)</t>
        </is>
      </c>
      <c r="Y170" s="2" t="inlineStr">
        <is>
          <t>22.00 – 25.99 %</t>
        </is>
      </c>
      <c r="Z170" s="2" t="inlineStr">
        <is>
          <t>GP_THC24 : CBD1</t>
        </is>
      </c>
      <c r="AA170" s="2" t="inlineStr">
        <is>
          <t>QCSP_001_GP-II_v.01</t>
        </is>
      </c>
      <c r="AB170" s="8" t="inlineStr">
        <is>
          <t>for review — replaces the issued QCSP_001_GP-II_v.01 (was GP_THC26 : CBD1, 25.40 – 26.60 %); now GP_THC24 : CBD1 22.00 – 25.99 %</t>
        </is>
      </c>
      <c r="AC170" s="11" t="inlineStr"/>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is>
          <t>Grape Pie</t>
        </is>
      </c>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24.00 ± 2.00 (II)</t>
        </is>
      </c>
      <c r="Y171" s="2" t="inlineStr">
        <is>
          <t>22.00 – 25.99 %</t>
        </is>
      </c>
      <c r="Z171" s="2" t="inlineStr">
        <is>
          <t>GP_THC24 : CBD1</t>
        </is>
      </c>
      <c r="AA171" s="2" t="inlineStr">
        <is>
          <t>QCSP_001_GP-II_v.01</t>
        </is>
      </c>
      <c r="AB171" s="8" t="inlineStr">
        <is>
          <t>for review — replaces the issued QCSP_001_GP-II_v.01 (was GP_THC26 : CBD1, 25.40 – 26.60 %); now GP_THC24 : CBD1 22.00 – 25.99 %</t>
        </is>
      </c>
      <c r="AC171" s="11" t="inlineStr"/>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v54 on 21.09.2026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CoQ_Analysis_Master_v54.xlsx,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2026-09-21T09:30:18Z</dcterms:created>
  <dcterms:modified xmlns:dcterms="http://purl.org/dc/terms/" xmlns:xsi="http://www.w3.org/2001/XMLSchema-instance" xsi:type="dcterms:W3CDTF">2026-09-21T09:30:19Z</dcterms:modified>
</cp:coreProperties>
</file>