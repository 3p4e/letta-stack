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FB012601_1</t>
        </is>
      </c>
      <c r="J75" s="2" t="inlineStr">
        <is>
          <t>P060322</t>
        </is>
      </c>
      <c r="K75" s="2" t="inlineStr">
        <is>
          <t>Fat Bastard</t>
        </is>
      </c>
      <c r="L75" s="2" t="inlineStr">
        <is>
          <t>Ident A + Ident B + Foreign matter</t>
        </is>
      </c>
      <c r="M75" s="6" t="inlineStr">
        <is>
          <t>—</t>
        </is>
      </c>
      <c r="N75" s="2">
        <f>IFERROR(INDEX('CoQ Register'!$B:$B,MATCH("P060322|I",'CoQ Register'!$S:$S,0)),"—")</f>
        <v/>
      </c>
      <c r="O75" s="2" t="inlineStr">
        <is>
          <t>iCoA-PP-2026-0019</t>
        </is>
      </c>
      <c r="P75" s="2" t="inlineStr">
        <is>
          <t>22.05.2026</t>
        </is>
      </c>
      <c r="Q75" s="2" t="inlineStr">
        <is>
          <t>27.03.2026</t>
        </is>
      </c>
      <c r="R75" s="2" t="inlineStr">
        <is>
          <t>22.05.2026</t>
        </is>
      </c>
      <c r="S75" s="5">
        <f>IFERROR(INDEX('CoQ Register'!$D:$D,MATCH("P060322|I",'CoQ Register'!$S:$S,0)),"")</f>
        <v/>
      </c>
      <c r="T75" s="2" t="inlineStr">
        <is>
          <t>Conforms</t>
        </is>
      </c>
      <c r="U75" s="2" t="inlineStr">
        <is>
          <t>Conforms</t>
        </is>
      </c>
      <c r="V75" s="2" t="inlineStr">
        <is>
          <t>Conforms</t>
        </is>
      </c>
      <c r="W75" s="2" t="inlineStr">
        <is>
          <t>ППК26067, (11.05.2026) [CNP]</t>
        </is>
      </c>
      <c r="X75" s="2" t="inlineStr">
        <is>
          <t>—</t>
        </is>
      </c>
      <c r="Y75" s="2" t="inlineStr">
        <is>
          <t>—</t>
        </is>
      </c>
      <c r="Z75" s="2" t="inlineStr">
        <is>
          <t>—</t>
        </is>
      </c>
      <c r="AA75" s="2" t="inlineStr">
        <is>
          <t>P060322|I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CC012601/1</t>
        </is>
      </c>
      <c r="J76" s="2" t="inlineStr">
        <is>
          <t>P060332</t>
        </is>
      </c>
      <c r="K76" s="2" t="inlineStr">
        <is>
          <t>Cash Cow</t>
        </is>
      </c>
      <c r="L76" s="2" t="inlineStr">
        <is>
          <t>Ident A + Ident B + Foreign matter</t>
        </is>
      </c>
      <c r="M76" s="6" t="inlineStr">
        <is>
          <t>—</t>
        </is>
      </c>
      <c r="N76" s="2">
        <f>IFERROR(INDEX('CoQ Register'!$B:$B,MATCH("P060332|I",'CoQ Register'!$S:$S,0)),"—")</f>
        <v/>
      </c>
      <c r="O76" s="6" t="inlineStr">
        <is>
          <t>—</t>
        </is>
      </c>
      <c r="P76" s="2" t="inlineStr">
        <is>
          <t>10.08.2026</t>
        </is>
      </c>
      <c r="Q76" s="2" t="inlineStr">
        <is>
          <t>16.04.2026</t>
        </is>
      </c>
      <c r="R76" s="2" t="inlineStr">
        <is>
          <t>22.05.2026 (the issuance plan's basis: 10.08.2026)</t>
        </is>
      </c>
      <c r="S76" s="5">
        <f>IFERROR(INDEX('CoQ Register'!$D:$D,MATCH("P060332|I",'CoQ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P060332|I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FB012603V</t>
        </is>
      </c>
      <c r="J77" s="2" t="inlineStr">
        <is>
          <t>P060392</t>
        </is>
      </c>
      <c r="K77" s="2" t="inlineStr">
        <is>
          <t>Fat Bastard</t>
        </is>
      </c>
      <c r="L77" s="2" t="inlineStr">
        <is>
          <t>Ident A + Ident B + Foreign matter</t>
        </is>
      </c>
      <c r="M77" s="2" t="inlineStr">
        <is>
          <t>A: ППК26110 / B: ППК26110 / FM: ППК26110</t>
        </is>
      </c>
      <c r="N77" s="2">
        <f>IFERROR(INDEX('CoQ Register'!$B:$B,MATCH("P060392|I",'CoQ Register'!$S:$S,0)),"—")</f>
        <v/>
      </c>
      <c r="O77" s="6" t="inlineStr">
        <is>
          <t>—</t>
        </is>
      </c>
      <c r="P77" s="2" t="inlineStr">
        <is>
          <t>30.06.2026</t>
        </is>
      </c>
      <c r="Q77" s="2" t="inlineStr">
        <is>
          <t>29.04.2026</t>
        </is>
      </c>
      <c r="R77" s="2" t="inlineStr">
        <is>
          <t>23.05.2026 (the issuance plan's basis: 30.06.2026)</t>
        </is>
      </c>
      <c r="S77" s="5">
        <f>IFERROR(INDEX('CoQ Register'!$D:$D,MATCH("P060392|I",'CoQ Register'!$S:$S,0)),"")</f>
        <v/>
      </c>
      <c r="T77" s="2" t="inlineStr">
        <is>
          <t>CNP ППК26110</t>
        </is>
      </c>
      <c r="U77" s="2" t="inlineStr">
        <is>
          <t>CNP ППК26110</t>
        </is>
      </c>
      <c r="V77" s="2" t="inlineStr">
        <is>
          <t>CNP ППК26110</t>
        </is>
      </c>
      <c r="W77" s="2" t="inlineStr">
        <is>
          <t>ППК26110, (30.06.2026) [CNP]</t>
        </is>
      </c>
      <c r="X77" s="2" t="inlineStr">
        <is>
          <t>—</t>
        </is>
      </c>
      <c r="Y77" s="2" t="inlineStr">
        <is>
          <t>—</t>
        </is>
      </c>
      <c r="Z77" s="2" t="inlineStr">
        <is>
          <t>—</t>
        </is>
      </c>
      <c r="AA77" s="2" t="inlineStr">
        <is>
          <t>P060392|I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JD012603</t>
        </is>
      </c>
      <c r="J78" s="2" t="inlineStr">
        <is>
          <t>P060422</t>
        </is>
      </c>
      <c r="K78" s="2" t="inlineStr">
        <is>
          <t>Jelly Donutz</t>
        </is>
      </c>
      <c r="L78" s="2" t="inlineStr">
        <is>
          <t>Ident A + Ident B + Foreign matter</t>
        </is>
      </c>
      <c r="M78" s="2" t="inlineStr">
        <is>
          <t>A: ППК26111 / B: ППК26111 / FM: ППК26111</t>
        </is>
      </c>
      <c r="N78" s="2">
        <f>IFERROR(INDEX('CoQ Register'!$B:$B,MATCH("P060422|I",'CoQ Register'!$S:$S,0)),"—")</f>
        <v/>
      </c>
      <c r="O78" s="2" t="inlineStr">
        <is>
          <t>iCoA-PP-2026-0022</t>
        </is>
      </c>
      <c r="P78" s="2" t="inlineStr">
        <is>
          <t>23.05.2026</t>
        </is>
      </c>
      <c r="Q78" s="2" t="inlineStr">
        <is>
          <t>29.04.2026</t>
        </is>
      </c>
      <c r="R78" s="2" t="inlineStr">
        <is>
          <t>23.05.2026</t>
        </is>
      </c>
      <c r="S78" s="5">
        <f>IFERROR(INDEX('CoQ Register'!$D:$D,MATCH("P060422|I",'CoQ Register'!$S:$S,0)),"")</f>
        <v/>
      </c>
      <c r="T78" s="2" t="inlineStr">
        <is>
          <t>CNP ППК26111</t>
        </is>
      </c>
      <c r="U78" s="2" t="inlineStr">
        <is>
          <t>CNP ППК26111</t>
        </is>
      </c>
      <c r="V78" s="2" t="inlineStr">
        <is>
          <t>CNP ППК26111</t>
        </is>
      </c>
      <c r="W78" s="2" t="inlineStr">
        <is>
          <t>ППК26111, (30.06.2026) [CNP]</t>
        </is>
      </c>
      <c r="X78" s="2" t="inlineStr">
        <is>
          <t>—</t>
        </is>
      </c>
      <c r="Y78" s="2" t="inlineStr">
        <is>
          <t>—</t>
        </is>
      </c>
      <c r="Z78" s="2" t="inlineStr">
        <is>
          <t>—</t>
        </is>
      </c>
      <c r="AA78" s="2" t="inlineStr">
        <is>
          <t>P060422|I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JD012603</t>
        </is>
      </c>
      <c r="J79" s="2" t="inlineStr">
        <is>
          <t>P060362</t>
        </is>
      </c>
      <c r="K79" s="2" t="inlineStr">
        <is>
          <t>Jelly Donutz</t>
        </is>
      </c>
      <c r="L79" s="2" t="inlineStr">
        <is>
          <t>Ident A + Ident B + Foreign matter</t>
        </is>
      </c>
      <c r="M79" s="2" t="inlineStr">
        <is>
          <t>A: ППК26111 / B: ППК26111 / FM: ППК26111</t>
        </is>
      </c>
      <c r="N79" s="2">
        <f>IFERROR(INDEX('CoQ Register'!$B:$B,MATCH("P060362|I",'CoQ Register'!$S:$S,0)),"—")</f>
        <v/>
      </c>
      <c r="O79" s="2" t="inlineStr">
        <is>
          <t>iCoA-PP-2026-0020</t>
        </is>
      </c>
      <c r="P79" s="2" t="inlineStr">
        <is>
          <t>23.05.2026</t>
        </is>
      </c>
      <c r="Q79" s="2" t="inlineStr">
        <is>
          <t>22.04.2026</t>
        </is>
      </c>
      <c r="R79" s="2" t="inlineStr">
        <is>
          <t>23.05.2026</t>
        </is>
      </c>
      <c r="S79" s="5">
        <f>IFERROR(INDEX('CoQ Register'!$D:$D,MATCH("P060362|I",'CoQ Register'!$S:$S,0)),"")</f>
        <v/>
      </c>
      <c r="T79" s="2" t="inlineStr">
        <is>
          <t>CNP ППК26111</t>
        </is>
      </c>
      <c r="U79" s="2" t="inlineStr">
        <is>
          <t>CNP ППК26111</t>
        </is>
      </c>
      <c r="V79" s="2" t="inlineStr">
        <is>
          <t>CNP ППК26111</t>
        </is>
      </c>
      <c r="W79" s="2" t="inlineStr">
        <is>
          <t>— no cannabinoid certificate from the initial testing —</t>
        </is>
      </c>
      <c r="X79" s="2" t="inlineStr">
        <is>
          <t>—</t>
        </is>
      </c>
      <c r="Y79" s="2" t="inlineStr">
        <is>
          <t>—</t>
        </is>
      </c>
      <c r="Z79" s="2" t="inlineStr">
        <is>
          <t>—</t>
        </is>
      </c>
      <c r="AA79" s="2" t="inlineStr">
        <is>
          <t>P060362|I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FB012602*</t>
        </is>
      </c>
      <c r="J80" s="2" t="inlineStr">
        <is>
          <t>P060352</t>
        </is>
      </c>
      <c r="K80" s="2" t="inlineStr">
        <is>
          <t>Fat Bastard</t>
        </is>
      </c>
      <c r="L80" s="2" t="inlineStr">
        <is>
          <t>Ident A + Ident B + Foreign matter</t>
        </is>
      </c>
      <c r="M80" s="6" t="inlineStr">
        <is>
          <t>—</t>
        </is>
      </c>
      <c r="N80" s="2">
        <f>IFERROR(INDEX('CoQ Register'!$B:$B,MATCH("P060352|I",'CoQ Register'!$S:$S,0)),"—")</f>
        <v/>
      </c>
      <c r="O80" s="2" t="inlineStr">
        <is>
          <t>iCoA-PP-2026-0021</t>
        </is>
      </c>
      <c r="P80" s="2" t="inlineStr">
        <is>
          <t>23.05.2026</t>
        </is>
      </c>
      <c r="Q80" s="2" t="inlineStr">
        <is>
          <t>16.04.2026</t>
        </is>
      </c>
      <c r="R80" s="2" t="inlineStr">
        <is>
          <t>23.05.2026</t>
        </is>
      </c>
      <c r="S80" s="5">
        <f>IFERROR(INDEX('CoQ Register'!$D:$D,MATCH("P060352|I",'CoQ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P060352|I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CC012603</t>
        </is>
      </c>
      <c r="J81" s="2" t="inlineStr">
        <is>
          <t>P060372</t>
        </is>
      </c>
      <c r="K81" s="2" t="inlineStr">
        <is>
          <t>Cash Cow</t>
        </is>
      </c>
      <c r="L81" s="2" t="inlineStr">
        <is>
          <t>Ident A + Ident B + Foreign matter</t>
        </is>
      </c>
      <c r="M81" s="6" t="inlineStr">
        <is>
          <t>—</t>
        </is>
      </c>
      <c r="N81" s="2">
        <f>IFERROR(INDEX('CoQ Register'!$B:$B,MATCH("P060372|I",'CoQ Register'!$S:$S,0)),"—")</f>
        <v/>
      </c>
      <c r="O81" s="2" t="inlineStr">
        <is>
          <t>iCoA-PP-2026-0024</t>
        </is>
      </c>
      <c r="P81" s="2" t="inlineStr">
        <is>
          <t>24.05.2026</t>
        </is>
      </c>
      <c r="Q81" s="2" t="inlineStr">
        <is>
          <t>22.04.2026</t>
        </is>
      </c>
      <c r="R81" s="2" t="inlineStr">
        <is>
          <t>24.05.2026</t>
        </is>
      </c>
      <c r="S81" s="5">
        <f>IFERROR(INDEX('CoQ Register'!$D:$D,MATCH("P060372|I",'CoQ Register'!$S:$S,0)),"")</f>
        <v/>
      </c>
      <c r="T81" s="2" t="inlineStr">
        <is>
          <t>Conforms</t>
        </is>
      </c>
      <c r="U81" s="2" t="inlineStr">
        <is>
          <t>Conforms</t>
        </is>
      </c>
      <c r="V81" s="2" t="inlineStr">
        <is>
          <t>Conforms</t>
        </is>
      </c>
      <c r="W81" s="2" t="inlineStr">
        <is>
          <t>— no cannabinoid certificate from the initial testing —</t>
        </is>
      </c>
      <c r="X81" s="2" t="inlineStr">
        <is>
          <t>—</t>
        </is>
      </c>
      <c r="Y81" s="2" t="inlineStr">
        <is>
          <t>—</t>
        </is>
      </c>
      <c r="Z81" s="2" t="inlineStr">
        <is>
          <t>—</t>
        </is>
      </c>
      <c r="AA81" s="2" t="inlineStr">
        <is>
          <t>P060372|I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GG012603</t>
        </is>
      </c>
      <c r="J82" s="2" t="inlineStr">
        <is>
          <t>P060402</t>
        </is>
      </c>
      <c r="K82" s="2" t="inlineStr">
        <is>
          <t>Gorilla Glue</t>
        </is>
      </c>
      <c r="L82" s="2" t="inlineStr">
        <is>
          <t>Ident A + Ident B + Foreign matter</t>
        </is>
      </c>
      <c r="M82" s="2" t="inlineStr">
        <is>
          <t>A: ППК26114 / B: ППК26114 / FM: ППК26114</t>
        </is>
      </c>
      <c r="N82" s="2">
        <f>IFERROR(INDEX('CoQ Register'!$B:$B,MATCH("P060402|I",'CoQ Register'!$S:$S,0)),"—")</f>
        <v/>
      </c>
      <c r="O82" s="2" t="inlineStr">
        <is>
          <t>iCoA-PP-2026-0023</t>
        </is>
      </c>
      <c r="P82" s="2" t="inlineStr">
        <is>
          <t>24.05.2026</t>
        </is>
      </c>
      <c r="Q82" s="2" t="inlineStr">
        <is>
          <t>04.05.2026</t>
        </is>
      </c>
      <c r="R82" s="2" t="inlineStr">
        <is>
          <t>24.05.2026</t>
        </is>
      </c>
      <c r="S82" s="5">
        <f>IFERROR(INDEX('CoQ Register'!$D:$D,MATCH("P060402|I",'CoQ Register'!$S:$S,0)),"")</f>
        <v/>
      </c>
      <c r="T82" s="2" t="inlineStr">
        <is>
          <t>CNP ППК26114</t>
        </is>
      </c>
      <c r="U82" s="2" t="inlineStr">
        <is>
          <t>CNP ППК26114</t>
        </is>
      </c>
      <c r="V82" s="2" t="inlineStr">
        <is>
          <t>CNP ППК26114</t>
        </is>
      </c>
      <c r="W82" s="2" t="inlineStr">
        <is>
          <t>ППК26114, (30.06.2026) [CNP]</t>
        </is>
      </c>
      <c r="X82" s="2" t="inlineStr">
        <is>
          <t>—</t>
        </is>
      </c>
      <c r="Y82" s="2" t="inlineStr">
        <is>
          <t>—</t>
        </is>
      </c>
      <c r="Z82" s="2" t="inlineStr">
        <is>
          <t>—</t>
        </is>
      </c>
      <c r="AA82" s="2" t="inlineStr">
        <is>
          <t>P060402|I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P060412</t>
        </is>
      </c>
      <c r="K83" s="2" t="inlineStr">
        <is>
          <t>Jelly Donutz</t>
        </is>
      </c>
      <c r="L83" s="2" t="inlineStr">
        <is>
          <t>Ident A + Ident B + Foreign matter</t>
        </is>
      </c>
      <c r="M83" s="2" t="inlineStr">
        <is>
          <t>A: ППК26111 / B: ППК26111 / FM: ППК26111</t>
        </is>
      </c>
      <c r="N83" s="2">
        <f>IFERROR(INDEX('CoQ Register'!$B:$B,MATCH("P060412|I",'CoQ Register'!$S:$S,0)),"—")</f>
        <v/>
      </c>
      <c r="O83" s="2" t="inlineStr">
        <is>
          <t>iCoA-PP-2026-0025</t>
        </is>
      </c>
      <c r="P83" s="2" t="inlineStr">
        <is>
          <t>24.05.2026</t>
        </is>
      </c>
      <c r="Q83" s="2" t="inlineStr">
        <is>
          <t>04.05.2026</t>
        </is>
      </c>
      <c r="R83" s="2" t="inlineStr">
        <is>
          <t>24.05.2026</t>
        </is>
      </c>
      <c r="S83" s="5">
        <f>IFERROR(INDEX('CoQ Register'!$D:$D,MATCH("P060412|I",'CoQ Register'!$S:$S,0)),"")</f>
        <v/>
      </c>
      <c r="T83" s="2" t="inlineStr">
        <is>
          <t>CNP ППК26111</t>
        </is>
      </c>
      <c r="U83" s="2" t="inlineStr">
        <is>
          <t>CNP ППК26111</t>
        </is>
      </c>
      <c r="V83" s="2" t="inlineStr">
        <is>
          <t>CNP ППК26111</t>
        </is>
      </c>
      <c r="W83" s="2" t="inlineStr">
        <is>
          <t>ППК26113, (30.06.2026) [CNP]</t>
        </is>
      </c>
      <c r="X83" s="2" t="inlineStr">
        <is>
          <t>—</t>
        </is>
      </c>
      <c r="Y83" s="2" t="inlineStr">
        <is>
          <t>—</t>
        </is>
      </c>
      <c r="Z83" s="2" t="inlineStr">
        <is>
          <t>—</t>
        </is>
      </c>
      <c r="AA83" s="2" t="inlineStr">
        <is>
          <t>P060412|I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SCR012603</t>
        </is>
      </c>
      <c r="J84" s="2" t="inlineStr">
        <is>
          <t>P060382</t>
        </is>
      </c>
      <c r="K84" s="2" t="inlineStr">
        <is>
          <t>Scrambler</t>
        </is>
      </c>
      <c r="L84" s="2" t="inlineStr">
        <is>
          <t>Ident A + Ident B + Foreign matter</t>
        </is>
      </c>
      <c r="M84" s="6" t="inlineStr">
        <is>
          <t>—</t>
        </is>
      </c>
      <c r="N84" s="2">
        <f>IFERROR(INDEX('CoQ Register'!$B:$B,MATCH("P060382|I",'CoQ Register'!$S:$S,0)),"—")</f>
        <v/>
      </c>
      <c r="O84" s="2" t="inlineStr">
        <is>
          <t>iCoA-PP-2026-0026</t>
        </is>
      </c>
      <c r="P84" s="2" t="inlineStr">
        <is>
          <t>25.05.2026</t>
        </is>
      </c>
      <c r="Q84" s="2" t="inlineStr">
        <is>
          <t>22.04.2026</t>
        </is>
      </c>
      <c r="R84" s="2" t="inlineStr">
        <is>
          <t>25.05.2026</t>
        </is>
      </c>
      <c r="S84" s="5">
        <f>IFERROR(INDEX('CoQ Register'!$D:$D,MATCH("P060382|I",'CoQ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P060382|I</t>
        </is>
      </c>
      <c r="AB84" s="7" t="inlineStr">
        <is>
          <t>registered — initial release, issued 03.06.2026</t>
        </is>
      </c>
    </row>
    <row r="85">
      <c r="A85" s="2" t="n">
        <v>84</v>
      </c>
      <c r="B85" s="3" t="inlineStr">
        <is>
          <t>iCoA-PP_26-084</t>
        </is>
      </c>
      <c r="C85" s="4" t="inlineStr">
        <is>
          <t>yes</t>
        </is>
      </c>
      <c r="D85" s="5" t="n">
        <v>46176</v>
      </c>
      <c r="E85" s="5" t="inlineStr">
        <is>
          <t>— not stated —</t>
        </is>
      </c>
      <c r="F85" s="5">
        <f>IFERROR(INDEX('Batch Dates'!$G:$G,MATCH(J85,'Batch Dates'!$C:$C,0)),IFERROR(INDEX('Batch Dates'!$G:$G,MATCH(I85,'Batch Dates'!$B:$B,0)),""))</f>
        <v/>
      </c>
      <c r="G85" s="2" t="inlineStr">
        <is>
          <t>legacy</t>
        </is>
      </c>
      <c r="H85" s="2" t="inlineStr">
        <is>
          <t>initial release</t>
        </is>
      </c>
      <c r="I85" s="3" t="inlineStr">
        <is>
          <t>BSS1024_01/1</t>
        </is>
      </c>
      <c r="J85" s="2" t="inlineStr">
        <is>
          <t>P050122</t>
        </is>
      </c>
      <c r="K85" s="2" t="inlineStr">
        <is>
          <t>Blue Sunset Sherbet</t>
        </is>
      </c>
      <c r="L85" s="2" t="inlineStr">
        <is>
          <t>Ident A + Ident B + Foreign matter</t>
        </is>
      </c>
      <c r="M85" s="6" t="inlineStr">
        <is>
          <t>—</t>
        </is>
      </c>
      <c r="N85" s="2">
        <f>IFERROR(INDEX('CoQ Register'!$B:$B,MATCH("P050122|I",'CoQ Register'!$S:$S,0)),"—")</f>
        <v/>
      </c>
      <c r="O85" s="6" t="inlineStr">
        <is>
          <t>—</t>
        </is>
      </c>
      <c r="P85" s="2" t="inlineStr">
        <is>
          <t>10.07.2025</t>
        </is>
      </c>
      <c r="Q85" s="2" t="inlineStr">
        <is>
          <t>04.06.2025 – 05.06.2025</t>
        </is>
      </c>
      <c r="R85" s="2" t="inlineStr">
        <is>
          <t>01.09.2025 – 09.09.2025 (the issuance plan's basis: 10.07.2025)</t>
        </is>
      </c>
      <c r="S85" s="5">
        <f>IFERROR(INDEX('CoQ Register'!$D:$D,MATCH("P050122|I",'CoQ Register'!$S:$S,0)),"")</f>
        <v/>
      </c>
      <c r="T85" s="2" t="inlineStr">
        <is>
          <t>Conforms</t>
        </is>
      </c>
      <c r="U85" s="2" t="inlineStr">
        <is>
          <t>Conforms</t>
        </is>
      </c>
      <c r="V85" s="2" t="inlineStr">
        <is>
          <t>Conforms</t>
        </is>
      </c>
      <c r="W85" s="2" t="inlineStr">
        <is>
          <t>ППК25176, (10.07.2025) [CNP]</t>
        </is>
      </c>
      <c r="X85" s="2" t="inlineStr">
        <is>
          <t>—</t>
        </is>
      </c>
      <c r="Y85" s="2" t="inlineStr">
        <is>
          <t>—</t>
        </is>
      </c>
      <c r="Z85" s="2" t="inlineStr">
        <is>
          <t>—</t>
        </is>
      </c>
      <c r="AA85" s="2" t="inlineStr">
        <is>
          <t>P050122|I</t>
        </is>
      </c>
      <c r="AB85" s="7" t="inlineStr">
        <is>
          <t>registered — initial release, issued 03.06.2026 · no packaging date on file — testing date not stated (owner, 15.09.2026: certified all the same)</t>
        </is>
      </c>
    </row>
    <row r="86">
      <c r="A86" s="2" t="n">
        <v>85</v>
      </c>
      <c r="B86" s="3" t="inlineStr">
        <is>
          <t>iCoA-PP_26-085</t>
        </is>
      </c>
      <c r="C86" s="4" t="inlineStr">
        <is>
          <t>yes</t>
        </is>
      </c>
      <c r="D86" s="5" t="n">
        <v>46176</v>
      </c>
      <c r="E86" s="5" t="inlineStr">
        <is>
          <t>— not stated —</t>
        </is>
      </c>
      <c r="F86" s="5">
        <f>IFERROR(INDEX('Batch Dates'!$G:$G,MATCH(J86,'Batch Dates'!$C:$C,0)),IFERROR(INDEX('Batch Dates'!$G:$G,MATCH(I86,'Batch Dates'!$B:$B,0)),""))</f>
        <v/>
      </c>
      <c r="G86" s="2" t="inlineStr">
        <is>
          <t>—</t>
        </is>
      </c>
      <c r="H86" s="2" t="inlineStr">
        <is>
          <t>initial release</t>
        </is>
      </c>
      <c r="I86" s="3" t="inlineStr">
        <is>
          <t>CC042601</t>
        </is>
      </c>
      <c r="J86" s="2" t="inlineStr">
        <is>
          <t>N/A — no P batch assigned</t>
        </is>
      </c>
      <c r="K86" s="2" t="inlineStr">
        <is>
          <t>Cash Cow</t>
        </is>
      </c>
      <c r="L86" s="2" t="inlineStr">
        <is>
          <t>Ident A + Ident B + Foreign matter</t>
        </is>
      </c>
      <c r="M86" s="6" t="inlineStr">
        <is>
          <t>—</t>
        </is>
      </c>
      <c r="N86" s="2">
        <f>IFERROR(INDEX('CoQ Register'!$B:$B,MATCH("CC042601|I",'CoQ Register'!$S:$S,0)),"—")</f>
        <v/>
      </c>
      <c r="O86" s="6" t="inlineStr">
        <is>
          <t>—</t>
        </is>
      </c>
      <c r="P86" s="2" t="inlineStr">
        <is>
          <t>—</t>
        </is>
      </c>
      <c r="Q86" s="2" t="inlineStr">
        <is>
          <t>— not on the list —</t>
        </is>
      </c>
      <c r="R86" s="2" t="inlineStr">
        <is>
          <t>— not on the list —</t>
        </is>
      </c>
      <c r="S86" s="5">
        <f>IFERROR(INDEX('CoQ Register'!$D:$D,MATCH("CC042601|I",'CoQ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CC042601|I</t>
        </is>
      </c>
      <c r="AB86" s="7" t="inlineStr">
        <is>
          <t>registered — initial release, issued 03.06.2026 · no packaging date on file — testing date not stated (owner, 15.09.2026: certified all the same)</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t>
        </is>
      </c>
      <c r="H87" s="2" t="inlineStr">
        <is>
          <t>initial release</t>
        </is>
      </c>
      <c r="I87" s="3" t="inlineStr">
        <is>
          <t>FB042601</t>
        </is>
      </c>
      <c r="J87" s="2" t="inlineStr">
        <is>
          <t>N/A — no P batch assigned</t>
        </is>
      </c>
      <c r="K87" s="2" t="inlineStr">
        <is>
          <t>Fat Bastard</t>
        </is>
      </c>
      <c r="L87" s="2" t="inlineStr">
        <is>
          <t>Ident A + Ident B + Foreign matter</t>
        </is>
      </c>
      <c r="M87" s="6" t="inlineStr">
        <is>
          <t>—</t>
        </is>
      </c>
      <c r="N87" s="2">
        <f>IFERROR(INDEX('CoQ Register'!$B:$B,MATCH("FB042601|I",'CoQ Register'!$S:$S,0)),"—")</f>
        <v/>
      </c>
      <c r="O87" s="6" t="inlineStr">
        <is>
          <t>—</t>
        </is>
      </c>
      <c r="P87" s="2" t="inlineStr">
        <is>
          <t>—</t>
        </is>
      </c>
      <c r="Q87" s="2" t="inlineStr">
        <is>
          <t>— not on the list —</t>
        </is>
      </c>
      <c r="R87" s="2" t="inlineStr">
        <is>
          <t>— not on the list —</t>
        </is>
      </c>
      <c r="S87" s="5">
        <f>IFERROR(INDEX('CoQ Register'!$D:$D,MATCH("FB042601|I",'CoQ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FB042601|I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post-SOP</t>
        </is>
      </c>
      <c r="H88" s="2" t="inlineStr">
        <is>
          <t>initial release</t>
        </is>
      </c>
      <c r="I88" s="3" t="inlineStr">
        <is>
          <t>GG012601＊</t>
        </is>
      </c>
      <c r="J88" s="2" t="inlineStr">
        <is>
          <t>P060302</t>
        </is>
      </c>
      <c r="K88" s="2" t="inlineStr">
        <is>
          <t>Gorilla Glue</t>
        </is>
      </c>
      <c r="L88" s="2" t="inlineStr">
        <is>
          <t>Ident A + Ident B + Foreign matter</t>
        </is>
      </c>
      <c r="M88" s="6" t="inlineStr">
        <is>
          <t>—</t>
        </is>
      </c>
      <c r="N88" s="2">
        <f>IFERROR(INDEX('CoQ Register'!$B:$B,MATCH("P060302|I",'CoQ Register'!$S:$S,0)),"—")</f>
        <v/>
      </c>
      <c r="O88" s="6" t="inlineStr">
        <is>
          <t>—</t>
        </is>
      </c>
      <c r="P88" s="2" t="inlineStr">
        <is>
          <t>11.05.2026</t>
        </is>
      </c>
      <c r="Q88" s="2" t="inlineStr">
        <is>
          <t>27.03.2026</t>
        </is>
      </c>
      <c r="R88" s="2" t="inlineStr">
        <is>
          <t>20.05.2026 (the issuance plan's basis: 11.05.2026)</t>
        </is>
      </c>
      <c r="S88" s="5">
        <f>IFERROR(INDEX('CoQ Register'!$D:$D,MATCH("P060302|I",'CoQ Register'!$S:$S,0)),"")</f>
        <v/>
      </c>
      <c r="T88" s="2" t="inlineStr">
        <is>
          <t>Conforms</t>
        </is>
      </c>
      <c r="U88" s="2" t="inlineStr">
        <is>
          <t>Conforms</t>
        </is>
      </c>
      <c r="V88" s="2" t="inlineStr">
        <is>
          <t>Conforms</t>
        </is>
      </c>
      <c r="W88" s="2" t="inlineStr">
        <is>
          <t>ППК26062, (11.05.2026) [CNP]</t>
        </is>
      </c>
      <c r="X88" s="2" t="inlineStr">
        <is>
          <t>—</t>
        </is>
      </c>
      <c r="Y88" s="2" t="inlineStr">
        <is>
          <t>—</t>
        </is>
      </c>
      <c r="Z88" s="2" t="inlineStr">
        <is>
          <t>—</t>
        </is>
      </c>
      <c r="AA88" s="2" t="inlineStr">
        <is>
          <t>P060302|I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post-SOP</t>
        </is>
      </c>
      <c r="H89" s="2" t="inlineStr">
        <is>
          <t>initial release</t>
        </is>
      </c>
      <c r="I89" s="3" t="inlineStr">
        <is>
          <t>JD012601＊</t>
        </is>
      </c>
      <c r="J89" s="2" t="inlineStr">
        <is>
          <t>P060312</t>
        </is>
      </c>
      <c r="K89" s="2" t="inlineStr">
        <is>
          <t>Jelly Donutz</t>
        </is>
      </c>
      <c r="L89" s="2" t="inlineStr">
        <is>
          <t>Ident A + Ident B + Foreign matter</t>
        </is>
      </c>
      <c r="M89" s="6" t="inlineStr">
        <is>
          <t>—</t>
        </is>
      </c>
      <c r="N89" s="2">
        <f>IFERROR(INDEX('CoQ Register'!$B:$B,MATCH("P060312|I",'CoQ Register'!$S:$S,0)),"—")</f>
        <v/>
      </c>
      <c r="O89" s="6" t="inlineStr">
        <is>
          <t>—</t>
        </is>
      </c>
      <c r="P89" s="2" t="inlineStr">
        <is>
          <t>11.05.2026</t>
        </is>
      </c>
      <c r="Q89" s="2" t="inlineStr">
        <is>
          <t>27.03.2026</t>
        </is>
      </c>
      <c r="R89" s="2" t="inlineStr">
        <is>
          <t>21.05.2026 (the issuance plan's basis: 11.05.2026)</t>
        </is>
      </c>
      <c r="S89" s="5">
        <f>IFERROR(INDEX('CoQ Register'!$D:$D,MATCH("P060312|I",'CoQ Register'!$S:$S,0)),"")</f>
        <v/>
      </c>
      <c r="T89" s="2" t="inlineStr">
        <is>
          <t>Conforms</t>
        </is>
      </c>
      <c r="U89" s="2" t="inlineStr">
        <is>
          <t>Conforms</t>
        </is>
      </c>
      <c r="V89" s="2" t="inlineStr">
        <is>
          <t>Conforms</t>
        </is>
      </c>
      <c r="W89" s="2" t="inlineStr">
        <is>
          <t>ППК26064, (11.05.2026) [CNP]</t>
        </is>
      </c>
      <c r="X89" s="2" t="inlineStr">
        <is>
          <t>—</t>
        </is>
      </c>
      <c r="Y89" s="2" t="inlineStr">
        <is>
          <t>—</t>
        </is>
      </c>
      <c r="Z89" s="2" t="inlineStr">
        <is>
          <t>—</t>
        </is>
      </c>
      <c r="AA89" s="2" t="inlineStr">
        <is>
          <t>P060312|I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OMP1024_01</t>
        </is>
      </c>
      <c r="J90" s="2" t="inlineStr">
        <is>
          <t>P050042</t>
        </is>
      </c>
      <c r="K90" s="2" t="inlineStr">
        <is>
          <t>Orange Punch Mimosa</t>
        </is>
      </c>
      <c r="L90" s="2" t="inlineStr">
        <is>
          <t>Ident A + Ident B + Foreign matter</t>
        </is>
      </c>
      <c r="M90" s="6" t="inlineStr">
        <is>
          <t>—</t>
        </is>
      </c>
      <c r="N90" s="2">
        <f>IFERROR(INDEX('CoQ Register'!$B:$B,MATCH("P050042|I",'CoQ Register'!$S:$S,0)),"—")</f>
        <v/>
      </c>
      <c r="O90" s="2" t="inlineStr">
        <is>
          <t>iCoA-PP-2025-0007</t>
        </is>
      </c>
      <c r="P90" s="2" t="inlineStr">
        <is>
          <t>20.06.2025</t>
        </is>
      </c>
      <c r="Q90" s="2" t="inlineStr">
        <is>
          <t>26.03.2025 – 27.03.2025</t>
        </is>
      </c>
      <c r="R90" s="2" t="inlineStr">
        <is>
          <t>20.06.2025</t>
        </is>
      </c>
      <c r="S90" s="5">
        <f>IFERROR(INDEX('CoQ Register'!$D:$D,MATCH("P050042|I",'CoQ Register'!$S:$S,0)),"")</f>
        <v/>
      </c>
      <c r="T90" s="2" t="inlineStr">
        <is>
          <t>Conforms</t>
        </is>
      </c>
      <c r="U90" s="2" t="inlineStr">
        <is>
          <t>Conforms</t>
        </is>
      </c>
      <c r="V90" s="2" t="inlineStr">
        <is>
          <t>Conforms</t>
        </is>
      </c>
      <c r="W90" s="2" t="inlineStr">
        <is>
          <t>ППК25117, (06.05.2025) [CNP]</t>
        </is>
      </c>
      <c r="X90" s="2" t="inlineStr">
        <is>
          <t>—</t>
        </is>
      </c>
      <c r="Y90" s="2" t="inlineStr">
        <is>
          <t>—</t>
        </is>
      </c>
      <c r="Z90" s="2" t="inlineStr">
        <is>
          <t>—</t>
        </is>
      </c>
      <c r="AA90" s="2" t="inlineStr">
        <is>
          <t>P050042|I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SCR012601*</t>
        </is>
      </c>
      <c r="J91" s="2" t="inlineStr">
        <is>
          <t>P060342</t>
        </is>
      </c>
      <c r="K91" s="2" t="inlineStr">
        <is>
          <t>Scrambler</t>
        </is>
      </c>
      <c r="L91" s="2" t="inlineStr">
        <is>
          <t>Ident A + Ident B + Foreign matter</t>
        </is>
      </c>
      <c r="M91" s="6" t="inlineStr">
        <is>
          <t>—</t>
        </is>
      </c>
      <c r="N91" s="2">
        <f>IFERROR(INDEX('CoQ Register'!$B:$B,MATCH("P060342|I",'CoQ Register'!$S:$S,0)),"—")</f>
        <v/>
      </c>
      <c r="O91" s="6" t="inlineStr">
        <is>
          <t>—</t>
        </is>
      </c>
      <c r="P91" s="2" t="inlineStr">
        <is>
          <t>—</t>
        </is>
      </c>
      <c r="Q91" s="2" t="inlineStr">
        <is>
          <t>16.04.2026</t>
        </is>
      </c>
      <c r="R91" s="2" t="inlineStr">
        <is>
          <t>25.05.2026 (the issuance plan's basis: —)</t>
        </is>
      </c>
      <c r="S91" s="5">
        <f>IFERROR(INDEX('CoQ Register'!$D:$D,MATCH("P060342|I",'CoQ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P060342|I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t>
        </is>
      </c>
      <c r="Q158" s="2" t="inlineStr">
        <is>
          <t>16.04.2026</t>
        </is>
      </c>
      <c r="R158" s="2" t="inlineStr">
        <is>
          <t>25.05.2026 (the issuance plan's basis: —)</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t>
        </is>
      </c>
      <c r="Q194" s="2" t="inlineStr">
        <is>
          <t>16.04.2026</t>
        </is>
      </c>
      <c r="R194" s="2" t="inlineStr">
        <is>
          <t>25.05.2026 (the issuance plan's basis: —)</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c r="A213" s="2" t="inlineStr"/>
      <c r="B213" s="3" t="inlineStr">
        <is>
          <t>— at issue —</t>
        </is>
      </c>
      <c r="C213" s="6" t="inlineStr">
        <is>
          <t>no</t>
        </is>
      </c>
      <c r="D213" s="5">
        <f>IF(A213="","",IF(ISNUMBER(E213),MAX(DATE(2026,6,3),E213),DATE(2026,6,3)))</f>
        <v/>
      </c>
      <c r="E213" s="5">
        <f>IFERROR(INDEX('Batch Dates'!$F:$F,MATCH(J213,'Batch Dates'!$C:$C,0)),IFERROR(INDEX('Batch Dates'!$F:$F,MATCH(I213,'Batch Dates'!$B:$B,0)),""))</f>
        <v/>
      </c>
      <c r="F213" s="5">
        <f>IFERROR(INDEX('Batch Dates'!$G:$G,MATCH(J213,'Batch Dates'!$C:$C,0)),IFERROR(INDEX('Batch Dates'!$G:$G,MATCH(I213,'Batch Dates'!$B:$B,0)),""))</f>
        <v/>
      </c>
      <c r="G213" s="2" t="inlineStr">
        <is>
          <t>—</t>
        </is>
      </c>
      <c r="H213" s="2" t="inlineStr">
        <is>
          <t>initial release</t>
        </is>
      </c>
      <c r="I213" s="3" t="inlineStr">
        <is>
          <t>JD112501＊</t>
        </is>
      </c>
      <c r="J213" s="2" t="inlineStr">
        <is>
          <t>N/A — no P batch assigned</t>
        </is>
      </c>
      <c r="K213" s="2" t="inlineStr">
        <is>
          <t>Jelly Donutz</t>
        </is>
      </c>
      <c r="L213" s="2" t="inlineStr">
        <is>
          <t>Ident A + Ident B + Foreign matter</t>
        </is>
      </c>
      <c r="M213" s="6" t="inlineStr">
        <is>
          <t>—</t>
        </is>
      </c>
      <c r="N213" s="2">
        <f>IFERROR(INDEX('CoQ Register'!$B:$B,MATCH("JD112501|I",'CoQ Register'!$S:$S,0)),"—")</f>
        <v/>
      </c>
      <c r="O213" s="2" t="inlineStr">
        <is>
          <t>iCoA-PP-2026-0015</t>
        </is>
      </c>
      <c r="P213" s="2" t="inlineStr">
        <is>
          <t>21.04.2026</t>
        </is>
      </c>
      <c r="Q213" s="2" t="inlineStr">
        <is>
          <t>— not on the list —</t>
        </is>
      </c>
      <c r="R213" s="2" t="inlineStr">
        <is>
          <t>— not on the list —</t>
        </is>
      </c>
      <c r="S213" s="5">
        <f>IFERROR(INDEX('CoQ Register'!$D:$D,MATCH("JD112501|I",'CoQ Register'!$S:$S,0)),"")</f>
        <v/>
      </c>
      <c r="T213" s="2" t="inlineStr">
        <is>
          <t>Conforms</t>
        </is>
      </c>
      <c r="U213" s="2" t="inlineStr">
        <is>
          <t>Conforms</t>
        </is>
      </c>
      <c r="V213" s="2" t="inlineStr">
        <is>
          <t>Conforms</t>
        </is>
      </c>
      <c r="W213" s="2" t="inlineStr">
        <is>
          <t>— no cannabinoid certificate from the initial testing —</t>
        </is>
      </c>
      <c r="X213" s="2" t="inlineStr">
        <is>
          <t>—</t>
        </is>
      </c>
      <c r="Y213" s="2" t="inlineStr">
        <is>
          <t>—</t>
        </is>
      </c>
      <c r="Z213" s="2" t="inlineStr">
        <is>
          <t>—</t>
        </is>
      </c>
      <c r="AA213" s="2" t="inlineStr">
        <is>
          <t>JD112501|I</t>
        </is>
      </c>
      <c r="AB213" s="8" t="inlineStr">
        <is>
          <t>not yet issuable — no packaging date on the list</t>
        </is>
      </c>
    </row>
    <row r="214">
      <c r="A214" s="2" t="inlineStr"/>
      <c r="B214" s="3" t="inlineStr">
        <is>
          <t>— at issue —</t>
        </is>
      </c>
      <c r="C214" s="6" t="inlineStr">
        <is>
          <t>no</t>
        </is>
      </c>
      <c r="D214" s="5">
        <f>IF(A214="","",IF(ISNUMBER(E214),MAX(DATE(2026,6,3),E214),DATE(2026,6,3)))</f>
        <v/>
      </c>
      <c r="E214" s="5" t="inlineStr">
        <is>
          <t>— at the retest sampling —</t>
        </is>
      </c>
      <c r="F214" s="5">
        <f>IFERROR(INDEX('Batch Dates'!$G:$G,MATCH(J214,'Batch Dates'!$C:$C,0)),IFERROR(INDEX('Batch Dates'!$G:$G,MATCH(I214,'Batch Dates'!$B:$B,0)),""))</f>
        <v/>
      </c>
      <c r="G214" s="2" t="inlineStr">
        <is>
          <t>—</t>
        </is>
      </c>
      <c r="H214" s="2" t="inlineStr">
        <is>
          <t>retest — not yet sampled</t>
        </is>
      </c>
      <c r="I214" s="3" t="inlineStr">
        <is>
          <t>JD112501＊</t>
        </is>
      </c>
      <c r="J214" s="2" t="inlineStr">
        <is>
          <t>N/A — no P batch assigned</t>
        </is>
      </c>
      <c r="K214" s="2" t="inlineStr">
        <is>
          <t>Jelly Donutz</t>
        </is>
      </c>
      <c r="L214" s="2" t="inlineStr">
        <is>
          <t>Ident A + Ident B + Foreign matter</t>
        </is>
      </c>
      <c r="M214" s="6" t="inlineStr">
        <is>
          <t>—</t>
        </is>
      </c>
      <c r="N214" s="2">
        <f>IFERROR(INDEX('CoQ Register'!$B:$B,MATCH("JD112501|R",'CoQ Register'!$S:$S,0)),"—")</f>
        <v/>
      </c>
      <c r="O214" s="6" t="inlineStr">
        <is>
          <t>—</t>
        </is>
      </c>
      <c r="P214" s="2" t="inlineStr">
        <is>
          <t>21.04.2027</t>
        </is>
      </c>
      <c r="Q214" s="2" t="inlineStr">
        <is>
          <t>— not on the list —</t>
        </is>
      </c>
      <c r="R214" s="2" t="inlineStr">
        <is>
          <t>— not on the list —</t>
        </is>
      </c>
      <c r="S214" s="5">
        <f>IFERROR(INDEX('CoQ Register'!$D:$D,MATCH("JD112501|R",'CoQ Register'!$S:$S,0)),"")</f>
        <v/>
      </c>
      <c r="T214" s="2" t="inlineStr">
        <is>
          <t>to test</t>
        </is>
      </c>
      <c r="U214" s="2" t="inlineStr">
        <is>
          <t>to test</t>
        </is>
      </c>
      <c r="V214" s="2" t="inlineStr">
        <is>
          <t>to test</t>
        </is>
      </c>
      <c r="W214" s="2" t="inlineStr">
        <is>
          <t>— retest assay not yet on file —</t>
        </is>
      </c>
      <c r="X214" s="2" t="inlineStr">
        <is>
          <t>— pending —</t>
        </is>
      </c>
      <c r="Y214" s="2" t="inlineStr">
        <is>
          <t>— pending —</t>
        </is>
      </c>
      <c r="Z214" s="2" t="inlineStr">
        <is>
          <t>#8, #9, #11, #12 from the initial testing</t>
        </is>
      </c>
      <c r="AA214" s="2" t="inlineStr">
        <is>
          <t>JD112501|R</t>
        </is>
      </c>
      <c r="AB214" s="8" t="inlineStr">
        <is>
          <t>not yet issuable — no campaign sampling date on file</t>
        </is>
      </c>
    </row>
    <row r="215"/>
    <row r="216" ht="110" customHeight="1">
      <c r="A216"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iCoA-PP_26-098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iCoA-PP_26-099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iCoA-PP_26-103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iCoA-PP_26-100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iCoA-PP_26-101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iCoA-PP_26-102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iCoA-PP_26-107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iCoA-PP_26-108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iCoA-PP_26-104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iCoA-PP_26-105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iCoA-PP_26-109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iCoA-PP_26-110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iCoA-PP_26-111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iCoA-PP_26-112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iCoA-PP_26-113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iCoA-PP_26-114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iCoA-PP_26-115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iCoA-PP_26-116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iCoA-PP_26-118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iCoA-PP_26-117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iCoA-PP_26-121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iCoA-PP_26-122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iCoA-PP_26-143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iCoA-PP_26-123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iCoA-PP_26-124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iCoA-PP_26-125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iCoA-PP_26-126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iCoA-PP_26-127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iCoA-PP_26-128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iCoA-PP_26-129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iCoA-PP_26-130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iCoA-PP_26-132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iCoA-PP_26-133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iCoA-PP_26-134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iCoA-PP_26-135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iCoA-PP_26-138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iCoA-PP_26-136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iCoA-PP_26-137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iCoA-PP_26-146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iCoA-PP_26-139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iCoA-PP_26-140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iCoA-PP_26-142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iCoA-PP_26-141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iCoA-PP_26-147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iCoA-PP_26-148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iCoA-PP_26-149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iCoA-PP_26-150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iCoA-PP_26-151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iCoA-PP_26-152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Register'!$B:$B,MATCH("P060052|R2",'iCoA Register'!$AA:$AA,0)),"—")</f>
        <v/>
      </c>
      <c r="I135" s="5">
        <f>IFERROR(INDEX('iCoA Register'!$D:$D,MATCH("P060052|R2",'iCoA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P060052|R2</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Register'!$B:$B,MATCH("P050122|R2",'iCoA Register'!$AA:$AA,0)),"—")</f>
        <v/>
      </c>
      <c r="I136" s="5">
        <f>IFERROR(INDEX('iCoA Register'!$D:$D,MATCH("P050122|R2",'iCoA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P050122|R2</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Register'!$B:$B,MATCH("P050142|R2",'iCoA Register'!$AA:$AA,0)),"—")</f>
        <v/>
      </c>
      <c r="I137" s="5">
        <f>IFERROR(INDEX('iCoA Register'!$D:$D,MATCH("P050142|R2",'iCoA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P050142|R2</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Register'!$B:$B,MATCH("P060272|R2",'iCoA Register'!$AA:$AA,0)),"—")</f>
        <v/>
      </c>
      <c r="I138" s="5">
        <f>IFERROR(INDEX('iCoA Register'!$D:$D,MATCH("P060272|R2",'iCoA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P060272|R2</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Register'!$B:$B,MATCH("P050172|R2",'iCoA Register'!$AA:$AA,0)),"—")</f>
        <v/>
      </c>
      <c r="I139" s="5">
        <f>IFERROR(INDEX('iCoA Register'!$D:$D,MATCH("P050172|R2",'iCoA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P050172|R2</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Register'!$B:$B,MATCH("P050252|R2",'iCoA Register'!$AA:$AA,0)),"—")</f>
        <v/>
      </c>
      <c r="I140" s="5">
        <f>IFERROR(INDEX('iCoA Register'!$D:$D,MATCH("P050252|R2",'iCoA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P050252|R2</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Register'!$B:$B,MATCH("CJ1024|R2",'iCoA Register'!$AA:$AA,0)),"—")</f>
        <v/>
      </c>
      <c r="I141" s="5">
        <f>IFERROR(INDEX('iCoA Register'!$D:$D,MATCH("CJ1024|R2",'iCoA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CJ1024|R2</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Register'!$B:$B,MATCH("P060432|R2",'iCoA Register'!$AA:$AA,0)),"—")</f>
        <v/>
      </c>
      <c r="I142" s="5">
        <f>IFERROR(INDEX('iCoA Register'!$D:$D,MATCH("P060432|R2",'iCoA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P060432|R2</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Register'!$B:$B,MATCH("P060392|R2",'iCoA Register'!$AA:$AA,0)),"—")</f>
        <v/>
      </c>
      <c r="I143" s="5">
        <f>IFERROR(INDEX('iCoA Register'!$D:$D,MATCH("P060392|R2",'iCoA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P060392|R2</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Register'!$B:$B,MATCH("P060292|R2",'iCoA Register'!$AA:$AA,0)),"—")</f>
        <v/>
      </c>
      <c r="I144" s="5">
        <f>IFERROR(INDEX('iCoA Register'!$D:$D,MATCH("P060292|R2",'iCoA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P060292|R2</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Register'!$B:$B,MATCH("P050012|R2",'iCoA Register'!$AA:$AA,0)),"—")</f>
        <v/>
      </c>
      <c r="I145" s="5">
        <f>IFERROR(INDEX('iCoA Register'!$D:$D,MATCH("P050012|R2",'iCoA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P050012|R2</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Register'!$B:$B,MATCH("P060252|R2",'iCoA Register'!$AA:$AA,0)),"—")</f>
        <v/>
      </c>
      <c r="I146" s="5">
        <f>IFERROR(INDEX('iCoA Register'!$D:$D,MATCH("P060252|R2",'iCoA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P060252|R2</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Register'!$B:$B,MATCH("P050292|R2",'iCoA Register'!$AA:$AA,0)),"—")</f>
        <v/>
      </c>
      <c r="I148" s="5">
        <f>IFERROR(INDEX('iCoA Register'!$D:$D,MATCH("P050292|R2",'iCoA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P050292|R2</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Register'!$B:$B,MATCH("P050102|R2",'iCoA Register'!$AA:$AA,0)),"—")</f>
        <v/>
      </c>
      <c r="I149" s="5">
        <f>IFERROR(INDEX('iCoA Register'!$D:$D,MATCH("P050102|R2",'iCoA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P050102|R2</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Register'!$B:$B,MATCH("P060142|R2",'iCoA Register'!$AA:$AA,0)),"—")</f>
        <v/>
      </c>
      <c r="I150" s="5">
        <f>IFERROR(INDEX('iCoA Register'!$D:$D,MATCH("P060142|R2",'iCoA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P060142|R2</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Register'!$B:$B,MATCH("P060262|R2",'iCoA Register'!$AA:$AA,0)),"—")</f>
        <v/>
      </c>
      <c r="I152" s="5">
        <f>IFERROR(INDEX('iCoA Register'!$D:$D,MATCH("P060262|R2",'iCoA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P060262|R2</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Register'!$B:$B,MATCH("P050032|R2",'iCoA Register'!$AA:$AA,0)),"—")</f>
        <v/>
      </c>
      <c r="I153" s="5">
        <f>IFERROR(INDEX('iCoA Register'!$D:$D,MATCH("P050032|R2",'iCoA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P050032|R2</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Register'!$B:$B,MATCH("P050132|R2",'iCoA Register'!$AA:$AA,0)),"—")</f>
        <v/>
      </c>
      <c r="I154" s="5">
        <f>IFERROR(INDEX('iCoA Register'!$D:$D,MATCH("P050132|R2",'iCoA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P050132|R2</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Register'!$B:$B,MATCH("P060222|R2",'iCoA Register'!$AA:$AA,0)),"—")</f>
        <v/>
      </c>
      <c r="I155" s="5">
        <f>IFERROR(INDEX('iCoA Register'!$D:$D,MATCH("P060222|R2",'iCoA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P060222|R2</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Register'!$B:$B,MATCH("P050272|R2",'iCoA Register'!$AA:$AA,0)),"—")</f>
        <v/>
      </c>
      <c r="I156" s="5">
        <f>IFERROR(INDEX('iCoA Register'!$D:$D,MATCH("P050272|R2",'iCoA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P050272|R2</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Register'!$B:$B,MATCH("P060342|R2",'iCoA Register'!$AA:$AA,0)),"—")</f>
        <v/>
      </c>
      <c r="I157" s="5">
        <f>IFERROR(INDEX('iCoA Register'!$D:$D,MATCH("P060342|R2",'iCoA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P060342|R2</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Register'!$B:$B,MATCH("P060442|R2",'iCoA Register'!$AA:$AA,0)),"—")</f>
        <v/>
      </c>
      <c r="I158" s="5">
        <f>IFERROR(INDEX('iCoA Register'!$D:$D,MATCH("P060442|R2",'iCoA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P060442|R2</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Register'!$B:$B,MATCH("P060162|R2",'iCoA Register'!$AA:$AA,0)),"—")</f>
        <v/>
      </c>
      <c r="I159" s="5">
        <f>IFERROR(INDEX('iCoA Register'!$D:$D,MATCH("P060162|R2",'iCoA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P060162|R2</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Register'!$B:$B,MATCH("P050262|R2",'iCoA Register'!$AA:$AA,0)),"—")</f>
        <v/>
      </c>
      <c r="I161" s="5">
        <f>IFERROR(INDEX('iCoA Register'!$D:$D,MATCH("P050262|R2",'iCoA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P050262|R2</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Register'!$B:$B,MATCH("P060102|R2",'iCoA Register'!$AA:$AA,0)),"—")</f>
        <v/>
      </c>
      <c r="I162" s="5">
        <f>IFERROR(INDEX('iCoA Register'!$D:$D,MATCH("P060102|R2",'iCoA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P060102|R2</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Register'!$B:$B,MATCH("P060302|R2",'iCoA Register'!$AA:$AA,0)),"—")</f>
        <v/>
      </c>
      <c r="I166" s="5">
        <f>IFERROR(INDEX('iCoA Register'!$D:$D,MATCH("P060302|R2",'iCoA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P060302|R2</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Register'!$B:$B,MATCH("P060312|R2",'iCoA Register'!$AA:$AA,0)),"—")</f>
        <v/>
      </c>
      <c r="I168" s="5">
        <f>IFERROR(INDEX('iCoA Register'!$D:$D,MATCH("P060312|R2",'iCoA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P060312|R2</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v35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CoQ_Analysis_Master_v35.xlsx,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2026-09-16T03:04:33Z</dcterms:created>
  <dcterms:modified xsi:type="dcterms:W3CDTF">2026-09-16T03:04:33Z</dcterms:modified>
</cp:coreProperties>
</file>