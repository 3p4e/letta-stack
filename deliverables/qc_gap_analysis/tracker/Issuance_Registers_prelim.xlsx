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OPM112501</t>
        </is>
      </c>
      <c r="J56" s="2" t="inlineStr">
        <is>
          <t>P060222</t>
        </is>
      </c>
      <c r="K56" s="2" t="inlineStr">
        <is>
          <t>Orange Punch Mimosa</t>
        </is>
      </c>
      <c r="L56" s="2" t="inlineStr">
        <is>
          <t>Ident A + Ident B + Foreign matter</t>
        </is>
      </c>
      <c r="M56" s="6" t="inlineStr">
        <is>
          <t>—</t>
        </is>
      </c>
      <c r="N56" s="2">
        <f>IFERROR(INDEX('CoQ Register'!$B:$B,MATCH("P060222|I",'CoQ Register'!$S:$S,0)),"—")</f>
        <v/>
      </c>
      <c r="O56" s="6" t="inlineStr">
        <is>
          <t>—</t>
        </is>
      </c>
      <c r="P56" s="2" t="inlineStr">
        <is>
          <t>P060222|I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PM112501</t>
        </is>
      </c>
      <c r="J57" s="2" t="inlineStr">
        <is>
          <t>P060232</t>
        </is>
      </c>
      <c r="K57" s="2" t="inlineStr">
        <is>
          <t>Permanent Market</t>
        </is>
      </c>
      <c r="L57" s="2" t="inlineStr">
        <is>
          <t>Ident A + Ident B + Foreign matter</t>
        </is>
      </c>
      <c r="M57" s="6" t="inlineStr">
        <is>
          <t>—</t>
        </is>
      </c>
      <c r="N57" s="2">
        <f>IFERROR(INDEX('CoQ Register'!$B:$B,MATCH("P060232|I",'CoQ Register'!$S:$S,0)),"—")</f>
        <v/>
      </c>
      <c r="O57" s="2" t="inlineStr">
        <is>
          <t>iCoA-PP-2026-0016</t>
        </is>
      </c>
      <c r="P57" s="2" t="inlineStr">
        <is>
          <t>P060232|I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OPM122501</t>
        </is>
      </c>
      <c r="J58" s="2" t="inlineStr">
        <is>
          <t>P060242</t>
        </is>
      </c>
      <c r="K58" s="2" t="inlineStr">
        <is>
          <t>Orange Punch Mimosa</t>
        </is>
      </c>
      <c r="L58" s="2" t="inlineStr">
        <is>
          <t>Ident A + Ident B + Foreign matter</t>
        </is>
      </c>
      <c r="M58" s="6" t="inlineStr">
        <is>
          <t>—</t>
        </is>
      </c>
      <c r="N58" s="2">
        <f>IFERROR(INDEX('CoQ Register'!$B:$B,MATCH("P060242|I",'CoQ Register'!$S:$S,0)),"—")</f>
        <v/>
      </c>
      <c r="O58" s="2" t="inlineStr">
        <is>
          <t>iCoA-PP-2026-0017</t>
        </is>
      </c>
      <c r="P58" s="2" t="inlineStr">
        <is>
          <t>P060242|I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GG112501</t>
        </is>
      </c>
      <c r="J59" s="2" t="inlineStr">
        <is>
          <t>P060252</t>
        </is>
      </c>
      <c r="K59" s="2" t="inlineStr">
        <is>
          <t>Gorilla Glue</t>
        </is>
      </c>
      <c r="L59" s="2" t="inlineStr">
        <is>
          <t>Ident A + Ident B + Foreign matter</t>
        </is>
      </c>
      <c r="M59" s="6" t="inlineStr">
        <is>
          <t>—</t>
        </is>
      </c>
      <c r="N59" s="2">
        <f>IFERROR(INDEX('CoQ Register'!$B:$B,MATCH("P060252|I",'CoQ Register'!$S:$S,0)),"—")</f>
        <v/>
      </c>
      <c r="O59" s="6" t="inlineStr">
        <is>
          <t>—</t>
        </is>
      </c>
      <c r="P59" s="2" t="inlineStr">
        <is>
          <t>P060252|I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post-SOP</t>
        </is>
      </c>
      <c r="H60" s="2" t="inlineStr">
        <is>
          <t>initial release</t>
        </is>
      </c>
      <c r="I60" s="3" t="inlineStr">
        <is>
          <t>J31122501</t>
        </is>
      </c>
      <c r="J60" s="2" t="inlineStr">
        <is>
          <t>P060262</t>
        </is>
      </c>
      <c r="K60" s="2" t="inlineStr">
        <is>
          <t>Jokerz 31</t>
        </is>
      </c>
      <c r="L60" s="2" t="inlineStr">
        <is>
          <t>Ident A + Ident B + Foreign matter</t>
        </is>
      </c>
      <c r="M60" s="6" t="inlineStr">
        <is>
          <t>—</t>
        </is>
      </c>
      <c r="N60" s="2">
        <f>IFERROR(INDEX('CoQ Register'!$B:$B,MATCH("P060262|I",'CoQ Register'!$S:$S,0)),"—")</f>
        <v/>
      </c>
      <c r="O60" s="6" t="inlineStr">
        <is>
          <t>—</t>
        </is>
      </c>
      <c r="P60" s="2" t="inlineStr">
        <is>
          <t>P060262|I</t>
        </is>
      </c>
      <c r="Q60" s="7" t="inlineStr">
        <is>
          <t>registered — first working day 5 days after packaging</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CC112501</t>
        </is>
      </c>
      <c r="J61" s="2" t="inlineStr">
        <is>
          <t>P060272</t>
        </is>
      </c>
      <c r="K61" s="2" t="inlineStr">
        <is>
          <t>Cash Cow</t>
        </is>
      </c>
      <c r="L61" s="2" t="inlineStr">
        <is>
          <t>Ident A + Ident B + Foreign matter</t>
        </is>
      </c>
      <c r="M61" s="6" t="inlineStr">
        <is>
          <t>—</t>
        </is>
      </c>
      <c r="N61" s="2">
        <f>IFERROR(INDEX('CoQ Register'!$B:$B,MATCH("P060272|I",'CoQ Register'!$S:$S,0)),"—")</f>
        <v/>
      </c>
      <c r="O61" s="6" t="inlineStr">
        <is>
          <t>—</t>
        </is>
      </c>
      <c r="P61" s="2" t="inlineStr">
        <is>
          <t>P060272|I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SCR112501</t>
        </is>
      </c>
      <c r="J62" s="2" t="inlineStr">
        <is>
          <t>P060282</t>
        </is>
      </c>
      <c r="K62" s="2" t="inlineStr">
        <is>
          <t>Scrambler</t>
        </is>
      </c>
      <c r="L62" s="2" t="inlineStr">
        <is>
          <t>Ident A + Ident B + Foreign matter</t>
        </is>
      </c>
      <c r="M62" s="6" t="inlineStr">
        <is>
          <t>—</t>
        </is>
      </c>
      <c r="N62" s="2">
        <f>IFERROR(INDEX('CoQ Register'!$B:$B,MATCH("P060282|I",'CoQ Register'!$S:$S,0)),"—")</f>
        <v/>
      </c>
      <c r="O62" s="2" t="inlineStr">
        <is>
          <t>iCoA-PP-2026-0018</t>
        </is>
      </c>
      <c r="P62" s="2" t="inlineStr">
        <is>
          <t>P060282|I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FB112501</t>
        </is>
      </c>
      <c r="J63" s="2" t="inlineStr">
        <is>
          <t>P060292</t>
        </is>
      </c>
      <c r="K63" s="2" t="inlineStr">
        <is>
          <t>Fat Bastard</t>
        </is>
      </c>
      <c r="L63" s="2" t="inlineStr">
        <is>
          <t>Ident A + Ident B + Foreign matter</t>
        </is>
      </c>
      <c r="M63" s="6" t="inlineStr">
        <is>
          <t>—</t>
        </is>
      </c>
      <c r="N63" s="2">
        <f>IFERROR(INDEX('CoQ Register'!$B:$B,MATCH("P060292|I",'CoQ Register'!$S:$S,0)),"—")</f>
        <v/>
      </c>
      <c r="O63" s="6" t="inlineStr">
        <is>
          <t>—</t>
        </is>
      </c>
      <c r="P63" s="2" t="inlineStr">
        <is>
          <t>P060292|I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GG012601＊</t>
        </is>
      </c>
      <c r="J64" s="2" t="inlineStr">
        <is>
          <t>P060302</t>
        </is>
      </c>
      <c r="K64" s="2" t="inlineStr">
        <is>
          <t>Gorilla Glue</t>
        </is>
      </c>
      <c r="L64" s="2" t="inlineStr">
        <is>
          <t>Ident A + Ident B + Foreign matter</t>
        </is>
      </c>
      <c r="M64" s="6" t="inlineStr">
        <is>
          <t>—</t>
        </is>
      </c>
      <c r="N64" s="2">
        <f>IFERROR(INDEX('CoQ Register'!$B:$B,MATCH("P060302|I",'CoQ Register'!$S:$S,0)),"—")</f>
        <v/>
      </c>
      <c r="O64" s="6" t="inlineStr">
        <is>
          <t>—</t>
        </is>
      </c>
      <c r="P64" s="2" t="inlineStr">
        <is>
          <t>P060302|I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JD012601＊</t>
        </is>
      </c>
      <c r="J65" s="2" t="inlineStr">
        <is>
          <t>P060312</t>
        </is>
      </c>
      <c r="K65" s="2" t="inlineStr">
        <is>
          <t>Jelly Donutz</t>
        </is>
      </c>
      <c r="L65" s="2" t="inlineStr">
        <is>
          <t>Ident A + Ident B + Foreign matter</t>
        </is>
      </c>
      <c r="M65" s="6" t="inlineStr">
        <is>
          <t>—</t>
        </is>
      </c>
      <c r="N65" s="2">
        <f>IFERROR(INDEX('CoQ Register'!$B:$B,MATCH("P060312|I",'CoQ Register'!$S:$S,0)),"—")</f>
        <v/>
      </c>
      <c r="O65" s="6" t="inlineStr">
        <is>
          <t>—</t>
        </is>
      </c>
      <c r="P65" s="2" t="inlineStr">
        <is>
          <t>P060312|I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CC012601/1</t>
        </is>
      </c>
      <c r="J66" s="2" t="inlineStr">
        <is>
          <t>P060332</t>
        </is>
      </c>
      <c r="K66" s="2" t="inlineStr"/>
      <c r="L66" s="2" t="inlineStr">
        <is>
          <t>Ident A + Ident B + Foreign matter</t>
        </is>
      </c>
      <c r="M66" s="6" t="inlineStr">
        <is>
          <t>—</t>
        </is>
      </c>
      <c r="N66" s="2">
        <f>IFERROR(INDEX('CoQ Register'!$B:$B,MATCH("P060332|I",'CoQ Register'!$S:$S,0)),"—")</f>
        <v/>
      </c>
      <c r="O66" s="6" t="inlineStr">
        <is>
          <t>—</t>
        </is>
      </c>
      <c r="P66" s="2" t="inlineStr">
        <is>
          <t>P060332|I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P060322|I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FB012602*</t>
        </is>
      </c>
      <c r="J68" s="2" t="inlineStr">
        <is>
          <t>P060352</t>
        </is>
      </c>
      <c r="K68" s="2" t="inlineStr">
        <is>
          <t>Fat Bastard</t>
        </is>
      </c>
      <c r="L68" s="2" t="inlineStr">
        <is>
          <t>Ident A + Ident B + Foreign matter</t>
        </is>
      </c>
      <c r="M68" s="6" t="inlineStr">
        <is>
          <t>—</t>
        </is>
      </c>
      <c r="N68" s="2">
        <f>IFERROR(INDEX('CoQ Register'!$B:$B,MATCH("P060352|I",'CoQ Register'!$S:$S,0)),"—")</f>
        <v/>
      </c>
      <c r="O68" s="2" t="inlineStr">
        <is>
          <t>iCoA-PP-2026-0021</t>
        </is>
      </c>
      <c r="P68" s="2" t="inlineStr">
        <is>
          <t>P060352|I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SCR012601*</t>
        </is>
      </c>
      <c r="J69" s="2" t="inlineStr">
        <is>
          <t>P060342</t>
        </is>
      </c>
      <c r="K69" s="2" t="inlineStr">
        <is>
          <t>Scrambler</t>
        </is>
      </c>
      <c r="L69" s="2" t="inlineStr">
        <is>
          <t>Ident A + Ident B + Foreign matter</t>
        </is>
      </c>
      <c r="M69" s="6" t="inlineStr">
        <is>
          <t>—</t>
        </is>
      </c>
      <c r="N69" s="2">
        <f>IFERROR(INDEX('CoQ Register'!$B:$B,MATCH("P060342|I",'CoQ Register'!$S:$S,0)),"—")</f>
        <v/>
      </c>
      <c r="O69" s="6" t="inlineStr">
        <is>
          <t>—</t>
        </is>
      </c>
      <c r="P69" s="2" t="inlineStr">
        <is>
          <t>P060342|I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SCR012603</t>
        </is>
      </c>
      <c r="J70" s="2" t="inlineStr">
        <is>
          <t>P060382</t>
        </is>
      </c>
      <c r="K70" s="2" t="inlineStr">
        <is>
          <t>Scrambler</t>
        </is>
      </c>
      <c r="L70" s="2" t="inlineStr">
        <is>
          <t>Ident A + Ident B + Foreign matter</t>
        </is>
      </c>
      <c r="M70" s="6" t="inlineStr">
        <is>
          <t>—</t>
        </is>
      </c>
      <c r="N70" s="2">
        <f>IFERROR(INDEX('CoQ Register'!$B:$B,MATCH("P060382|I",'CoQ Register'!$S:$S,0)),"—")</f>
        <v/>
      </c>
      <c r="O70" s="2" t="inlineStr">
        <is>
          <t>iCoA-PP-2026-0026</t>
        </is>
      </c>
      <c r="P70" s="2" t="inlineStr">
        <is>
          <t>P060382|I</t>
        </is>
      </c>
      <c r="Q70" s="7" t="inlineStr">
        <is>
          <t>registered — first working day 5 days after packaging</t>
        </is>
      </c>
    </row>
    <row r="71">
      <c r="A71" s="2">
        <f>IF(C71="yes",COUNT(A$1:A70)+1,"")</f>
        <v/>
      </c>
      <c r="B71" s="3">
        <f>IF(A71&lt;&gt;"","iCoA-PP_26-"&amp;TEXT(A71,"000"),IF(C71="n/a","not needed","— at issue —"))</f>
        <v/>
      </c>
      <c r="C71" s="2" t="inlineStr">
        <is>
          <t>n/a</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IF(A72="","",IF(G72="legacy",DATE(2026,5,15),IF(ISNUMBER(F72),(F72+5)+CHOOSE(WEEKDAY(F72+5,2),0,0,0,0,0,2,1),"")))</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IF(A73="","",IF(G73="legacy",DATE(2026,5,15),IF(ISNUMBER(F73),(F73+5)+CHOOSE(WEEKDAY(F73+5,2),0,0,0,0,0,2,1),"")))</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IF(A74="","",IF(G74="legacy",DATE(2026,5,15),IF(ISNUMBER(F74),(F74+5)+CHOOSE(WEEKDAY(F74+5,2),0,0,0,0,0,2,1),"")))</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IF(A75="","",IF(G75="legacy",DATE(2026,5,15),IF(ISNUMBER(F75),(F75+5)+CHOOSE(WEEKDAY(F75+5,2),0,0,0,0,0,2,1),"")))</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IF(A76="","",IF(G76="legacy",DATE(2026,5,15),IF(ISNUMBER(F76),(F76+5)+CHOOSE(WEEKDAY(F76+5,2),0,0,0,0,0,2,1),"")))</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IF(A77="","",IF(G77="legacy",DATE(2026,5,15),IF(ISNUMBER(F77),(F77+5)+CHOOSE(WEEKDAY(F77+5,2),0,0,0,0,0,2,1),"")))</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IF(A78="","",IF(G78="legacy",DATE(2026,5,15),IF(ISNUMBER(F78),(F78+5)+CHOOSE(WEEKDAY(F78+5,2),0,0,0,0,0,2,1),"")))</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IF(A79="","",IF(G79="legacy",DATE(2026,5,15),IF(ISNUMBER(F79),(F79+5)+CHOOSE(WEEKDAY(F79+5,2),0,0,0,0,0,2,1),"")))</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IF(A80="","",IF(G80="legacy",DATE(2026,5,15),IF(ISNUMBER(F80),(F80+5)+CHOOSE(WEEKDAY(F80+5,2),0,0,0,0,0,2,1),"")))</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IF(A81="","",IF(G81="legacy",DATE(2026,5,15),IF(ISNUMBER(F81),(F81+5)+CHOOSE(WEEKDAY(F81+5,2),0,0,0,0,0,2,1),"")))</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t>
        </is>
      </c>
      <c r="J81" s="2" t="inlineStr">
        <is>
          <t>P160012</t>
        </is>
      </c>
      <c r="K81" s="2" t="inlineStr"/>
      <c r="L81" s="2" t="inlineStr">
        <is>
          <t>— all three on the CNP certificate —</t>
        </is>
      </c>
      <c r="M81" s="2" t="inlineStr">
        <is>
          <t>A: ППК26117 / B: ППК26117 / FM: ППК26117</t>
        </is>
      </c>
      <c r="N81" s="2">
        <f>IFERROR(INDEX('CoQ Register'!$B:$B,MATCH("P160012|I",'CoQ Register'!$S:$S,0)),"—")</f>
        <v/>
      </c>
      <c r="O81" s="6" t="inlineStr">
        <is>
          <t>—</t>
        </is>
      </c>
      <c r="P81" s="2" t="inlineStr">
        <is>
          <t>P160012|I</t>
        </is>
      </c>
      <c r="Q81" s="8" t="inlineStr">
        <is>
          <t>not needed — CNP covers A, B and foreign matter</t>
        </is>
      </c>
    </row>
    <row r="82">
      <c r="A82" s="2">
        <f>IF(C82="yes",COUNT(A$1:A81)+1,"")</f>
        <v/>
      </c>
      <c r="B82" s="3">
        <f>IF(A82&lt;&gt;"","iCoA-PP_26-"&amp;TEXT(A82,"000"),IF(C82="n/a","not needed","— at issue —"))</f>
        <v/>
      </c>
      <c r="C82" s="2" t="inlineStr">
        <is>
          <t>n/a</t>
        </is>
      </c>
      <c r="D82" s="5">
        <f>IF(A82="","",IF(G82="legacy",DATE(2026,5,15),IF(ISNUMBER(F82),(F82+5)+CHOOSE(WEEKDAY(F82+5,2),0,0,0,0,0,2,1),"")))</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P160022</t>
        </is>
      </c>
      <c r="K82" s="2" t="inlineStr"/>
      <c r="L82" s="2" t="inlineStr">
        <is>
          <t>— all three on the CNP certificate —</t>
        </is>
      </c>
      <c r="M82" s="2" t="inlineStr">
        <is>
          <t>A: ППК26118 / B: ППК26118 / FM: ППК26118</t>
        </is>
      </c>
      <c r="N82" s="2">
        <f>IFERROR(INDEX('CoQ Register'!$B:$B,MATCH("P160022|I",'CoQ Register'!$S:$S,0)),"—")</f>
        <v/>
      </c>
      <c r="O82" s="6" t="inlineStr">
        <is>
          <t>—</t>
        </is>
      </c>
      <c r="P82" s="2" t="inlineStr">
        <is>
          <t>P160022|I</t>
        </is>
      </c>
      <c r="Q82" s="8" t="inlineStr">
        <is>
          <t>not needed — CNP covers A, B and foreign matter</t>
        </is>
      </c>
    </row>
    <row r="83">
      <c r="A83" s="2">
        <f>IF(C83="yes",COUNT(A$1:A82)+1,"")</f>
        <v/>
      </c>
      <c r="B83" s="3">
        <f>IF(A83&lt;&gt;"","iCoA-PP_26-"&amp;TEXT(A83,"000"),IF(C83="n/a","not needed","— at issue —"))</f>
        <v/>
      </c>
      <c r="C83" s="2" t="inlineStr">
        <is>
          <t>n/a</t>
        </is>
      </c>
      <c r="D83" s="5">
        <f>IF(A83="","",IF(G83="legacy",DATE(2026,5,15),IF(ISNUMBER(F83),(F83+5)+CHOOSE(WEEKDAY(F83+5,2),0,0,0,0,0,2,1),"")))</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P160032</t>
        </is>
      </c>
      <c r="K83" s="2" t="inlineStr"/>
      <c r="L83" s="2" t="inlineStr">
        <is>
          <t>— all three on the CNP certificate —</t>
        </is>
      </c>
      <c r="M83" s="2" t="inlineStr">
        <is>
          <t>A: ППК26119 / B: ППК26119 / FM: ППК26119</t>
        </is>
      </c>
      <c r="N83" s="2">
        <f>IFERROR(INDEX('CoQ Register'!$B:$B,MATCH("P160032|I",'CoQ Register'!$S:$S,0)),"—")</f>
        <v/>
      </c>
      <c r="O83" s="6" t="inlineStr">
        <is>
          <t>—</t>
        </is>
      </c>
      <c r="P83" s="2" t="inlineStr">
        <is>
          <t>P160032|I</t>
        </is>
      </c>
      <c r="Q83" s="8" t="inlineStr">
        <is>
          <t>not needed — CNP covers A, B and foreign matter</t>
        </is>
      </c>
    </row>
    <row r="84">
      <c r="A84" s="2">
        <f>IF(C84="yes",COUNT(A$1:A83)+1,"")</f>
        <v/>
      </c>
      <c r="B84" s="3">
        <f>IF(A84&lt;&gt;"","iCoA-PP_26-"&amp;TEXT(A84,"000"),IF(C84="n/a","not needed","— at issue —"))</f>
        <v/>
      </c>
      <c r="C84" s="6" t="inlineStr">
        <is>
          <t>no</t>
        </is>
      </c>
      <c r="D84" s="5">
        <f>IF(A84="","",IF(G84="legacy",DATE(2026,5,15),IF(ISNUMBER(F84),(F84+5)+CHOOSE(WEEKDAY(F84+5,2),0,0,0,0,0,2,1),"")))</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IF(A146="","",IF(G146="legacy",DATE(2026,5,15),IF(ISNUMBER(F146),(F146+5)+CHOOSE(WEEKDAY(F146+5,2),0,0,0,0,0,2,1),"")))</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IF(A147="","",IF(G147="legacy",DATE(2026,5,15),IF(ISNUMBER(F147),(F147+5)+CHOOSE(WEEKDAY(F147+5,2),0,0,0,0,0,2,1),"")))</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IF(A148="","",IF(G148="legacy",DATE(2026,5,15),IF(ISNUMBER(F148),(F148+5)+CHOOSE(WEEKDAY(F148+5,2),0,0,0,0,0,2,1),"")))</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IF(A149="","",IF(G149="legacy",DATE(2026,5,15),IF(ISNUMBER(F149),(F149+5)+CHOOSE(WEEKDAY(F149+5,2),0,0,0,0,0,2,1),"")))</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IF(A150="","",IF(G150="legacy",DATE(2026,5,15),IF(ISNUMBER(F150),(F150+5)+CHOOSE(WEEKDAY(F150+5,2),0,0,0,0,0,2,1),"")))</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IF(A151="","",IF(G151="legacy",DATE(2026,5,15),IF(ISNUMBER(F151),(F151+5)+CHOOSE(WEEKDAY(F151+5,2),0,0,0,0,0,2,1),"")))</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IF(A152="","",IF(G152="legacy",DATE(2026,5,15),IF(ISNUMBER(F152),(F152+5)+CHOOSE(WEEKDAY(F152+5,2),0,0,0,0,0,2,1),"")))</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IF(A153="","",IF(G153="legacy",DATE(2026,5,15),IF(ISNUMBER(F153),(F153+5)+CHOOSE(WEEKDAY(F153+5,2),0,0,0,0,0,2,1),"")))</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IF(A154="","",IF(G154="legacy",DATE(2026,5,15),IF(ISNUMBER(F154),(F154+5)+CHOOSE(WEEKDAY(F154+5,2),0,0,0,0,0,2,1),"")))</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IF(A155="","",IF(G155="legacy",DATE(2026,5,15),IF(ISNUMBER(F155),(F155+5)+CHOOSE(WEEKDAY(F155+5,2),0,0,0,0,0,2,1),"")))</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IF(A156="","",IF(G156="legacy",DATE(2026,5,15),IF(ISNUMBER(F156),(F156+5)+CHOOSE(WEEKDAY(F156+5,2),0,0,0,0,0,2,1),"")))</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IF(A157="","",IF(G157="legacy",DATE(2026,5,15),IF(ISNUMBER(F157),(F157+5)+CHOOSE(WEEKDAY(F157+5,2),0,0,0,0,0,2,1),"")))</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IF(A158="","",IF(G158="legacy",DATE(2026,5,15),IF(ISNUMBER(F158),(F158+5)+CHOOSE(WEEKDAY(F158+5,2),0,0,0,0,0,2,1),"")))</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Register'!$P:$P,0)))+CHOOSE(WEEKDAY(INDEX('iCoA Register'!$F:$F,MATCH(S2,'iCoA Register'!$P:$P,0)),2),0,0,0,0,0,2,1),0),0)))</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Register'!$P:$P,0)))+CHOOSE(WEEKDAY(INDEX('iCoA Register'!$F:$F,MATCH(S3,'iCoA Register'!$P:$P,0)),2),0,0,0,0,0,2,1),0),0)))</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Register'!$P:$P,0)))+CHOOSE(WEEKDAY(INDEX('iCoA Register'!$F:$F,MATCH(S4,'iCoA Register'!$P:$P,0)),2),0,0,0,0,0,2,1),0),0)))</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Register'!$P:$P,0)))+CHOOSE(WEEKDAY(INDEX('iCoA Register'!$F:$F,MATCH(S5,'iCoA Register'!$P:$P,0)),2),0,0,0,0,0,2,1),0),0)))</f>
        <v/>
      </c>
      <c r="E5" s="5">
        <f>IF(ISNUMBER(F5),IF(AND(J5="legacy",F5&lt;=DATE(2026,5,27)),DATE(2026,5,27),MAX(DATE(2026,5,27),(F5+7)+CHOOSE(WEEKDAY(F5+7,2),0,0,0,0,0,2,1))),IF(J5="legacy",DATE(2026,5,27),""))</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Register'!$P:$P,0)))+CHOOSE(WEEKDAY(INDEX('iCoA Register'!$F:$F,MATCH(S6,'iCoA Register'!$P:$P,0)),2),0,0,0,0,0,2,1),0),0)))</f>
        <v/>
      </c>
      <c r="E6" s="5">
        <f>IF(ISNUMBER(F6),IF(AND(J6="legacy",F6&lt;=DATE(2026,5,27)),DATE(2026,5,27),MAX(DATE(2026,5,27),(F6+7)+CHOOSE(WEEKDAY(F6+7,2),0,0,0,0,0,2,1))),IF(J6="legacy",DATE(2026,5,27),""))</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Register'!$P:$P,0)))+CHOOSE(WEEKDAY(INDEX('iCoA Register'!$F:$F,MATCH(S7,'iCoA Register'!$P:$P,0)),2),0,0,0,0,0,2,1),0),0)))</f>
        <v/>
      </c>
      <c r="E7" s="5">
        <f>IF(ISNUMBER(F7),IF(AND(J7="legacy",F7&lt;=DATE(2026,5,27)),DATE(2026,5,27),MAX(DATE(2026,5,27),(F7+7)+CHOOSE(WEEKDAY(F7+7,2),0,0,0,0,0,2,1))),IF(J7="legacy",DATE(2026,5,27),""))</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Register'!$P:$P,0)))+CHOOSE(WEEKDAY(INDEX('iCoA Register'!$F:$F,MATCH(S8,'iCoA Register'!$P:$P,0)),2),0,0,0,0,0,2,1),0),0)))</f>
        <v/>
      </c>
      <c r="E8" s="5">
        <f>IF(ISNUMBER(F8),IF(AND(J8="legacy",F8&lt;=DATE(2026,5,27)),DATE(2026,5,27),MAX(DATE(2026,5,27),(F8+7)+CHOOSE(WEEKDAY(F8+7,2),0,0,0,0,0,2,1))),IF(J8="legacy",DATE(2026,5,27),""))</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Register'!$P:$P,0)))+CHOOSE(WEEKDAY(INDEX('iCoA Register'!$F:$F,MATCH(S9,'iCoA Register'!$P:$P,0)),2),0,0,0,0,0,2,1),0),0)))</f>
        <v/>
      </c>
      <c r="E9" s="5">
        <f>IF(ISNUMBER(F9),IF(AND(J9="legacy",F9&lt;=DATE(2026,5,27)),DATE(2026,5,27),MAX(DATE(2026,5,27),(F9+7)+CHOOSE(WEEKDAY(F9+7,2),0,0,0,0,0,2,1))),IF(J9="legacy",DATE(2026,5,27),""))</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Register'!$P:$P,0)))+CHOOSE(WEEKDAY(INDEX('iCoA Register'!$F:$F,MATCH(S10,'iCoA Register'!$P:$P,0)),2),0,0,0,0,0,2,1),0),0)))</f>
        <v/>
      </c>
      <c r="E10" s="5">
        <f>IF(ISNUMBER(F10),IF(AND(J10="legacy",F10&lt;=DATE(2026,5,27)),DATE(2026,5,27),MAX(DATE(2026,5,27),(F10+7)+CHOOSE(WEEKDAY(F10+7,2),0,0,0,0,0,2,1))),IF(J10="legacy",DATE(2026,5,27),""))</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Register'!$P:$P,0)))+CHOOSE(WEEKDAY(INDEX('iCoA Register'!$F:$F,MATCH(S11,'iCoA Register'!$P:$P,0)),2),0,0,0,0,0,2,1),0),0)))</f>
        <v/>
      </c>
      <c r="E11" s="5">
        <f>IF(ISNUMBER(F11),IF(AND(J11="legacy",F11&lt;=DATE(2026,5,27)),DATE(2026,5,27),MAX(DATE(2026,5,27),(F11+7)+CHOOSE(WEEKDAY(F11+7,2),0,0,0,0,0,2,1))),IF(J11="legacy",DATE(2026,5,27),""))</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Register'!$P:$P,0)))+CHOOSE(WEEKDAY(INDEX('iCoA Register'!$F:$F,MATCH(S12,'iCoA Register'!$P:$P,0)),2),0,0,0,0,0,2,1),0),0)))</f>
        <v/>
      </c>
      <c r="E12" s="5">
        <f>IF(ISNUMBER(F12),IF(AND(J12="legacy",F12&lt;=DATE(2026,5,27)),DATE(2026,5,27),MAX(DATE(2026,5,27),(F12+7)+CHOOSE(WEEKDAY(F12+7,2),0,0,0,0,0,2,1))),IF(J12="legacy",DATE(2026,5,27),""))</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Register'!$P:$P,0)))+CHOOSE(WEEKDAY(INDEX('iCoA Register'!$F:$F,MATCH(S13,'iCoA Register'!$P:$P,0)),2),0,0,0,0,0,2,1),0),0)))</f>
        <v/>
      </c>
      <c r="E13" s="5">
        <f>IF(ISNUMBER(F13),IF(AND(J13="legacy",F13&lt;=DATE(2026,5,27)),DATE(2026,5,27),MAX(DATE(2026,5,27),(F13+7)+CHOOSE(WEEKDAY(F13+7,2),0,0,0,0,0,2,1))),IF(J13="legacy",DATE(2026,5,27),""))</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Register'!$P:$P,0)))+CHOOSE(WEEKDAY(INDEX('iCoA Register'!$F:$F,MATCH(S14,'iCoA Register'!$P:$P,0)),2),0,0,0,0,0,2,1),0),0)))</f>
        <v/>
      </c>
      <c r="E14" s="5">
        <f>IF(ISNUMBER(F14),IF(AND(J14="legacy",F14&lt;=DATE(2026,5,27)),DATE(2026,5,27),MAX(DATE(2026,5,27),(F14+7)+CHOOSE(WEEKDAY(F14+7,2),0,0,0,0,0,2,1))),IF(J14="legacy",DATE(2026,5,27),""))</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Register'!$P:$P,0)))+CHOOSE(WEEKDAY(INDEX('iCoA Register'!$F:$F,MATCH(S15,'iCoA Register'!$P:$P,0)),2),0,0,0,0,0,2,1),0),0)))</f>
        <v/>
      </c>
      <c r="E15" s="5">
        <f>IF(ISNUMBER(F15),IF(AND(J15="legacy",F15&lt;=DATE(2026,5,27)),DATE(2026,5,27),MAX(DATE(2026,5,27),(F15+7)+CHOOSE(WEEKDAY(F15+7,2),0,0,0,0,0,2,1))),IF(J15="legacy",DATE(2026,5,27),""))</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Register'!$P:$P,0)))+CHOOSE(WEEKDAY(INDEX('iCoA Register'!$F:$F,MATCH(S16,'iCoA Register'!$P:$P,0)),2),0,0,0,0,0,2,1),0),0)))</f>
        <v/>
      </c>
      <c r="E16" s="5">
        <f>IF(ISNUMBER(F16),IF(AND(J16="legacy",F16&lt;=DATE(2026,5,27)),DATE(2026,5,27),MAX(DATE(2026,5,27),(F16+7)+CHOOSE(WEEKDAY(F16+7,2),0,0,0,0,0,2,1))),IF(J16="legacy",DATE(2026,5,27),""))</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Register'!$P:$P,0)))+CHOOSE(WEEKDAY(INDEX('iCoA Register'!$F:$F,MATCH(S17,'iCoA Register'!$P:$P,0)),2),0,0,0,0,0,2,1),0),0)))</f>
        <v/>
      </c>
      <c r="E17" s="5">
        <f>IF(ISNUMBER(F17),IF(AND(J17="legacy",F17&lt;=DATE(2026,5,27)),DATE(2026,5,27),MAX(DATE(2026,5,27),(F17+7)+CHOOSE(WEEKDAY(F17+7,2),0,0,0,0,0,2,1))),IF(J17="legacy",DATE(2026,5,27),""))</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Register'!$P:$P,0)))+CHOOSE(WEEKDAY(INDEX('iCoA Register'!$F:$F,MATCH(S18,'iCoA Register'!$P:$P,0)),2),0,0,0,0,0,2,1),0),0)))</f>
        <v/>
      </c>
      <c r="E18" s="5">
        <f>IF(ISNUMBER(F18),IF(AND(J18="legacy",F18&lt;=DATE(2026,5,27)),DATE(2026,5,27),MAX(DATE(2026,5,27),(F18+7)+CHOOSE(WEEKDAY(F18+7,2),0,0,0,0,0,2,1))),IF(J18="legacy",DATE(2026,5,27),""))</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Register'!$P:$P,0)))+CHOOSE(WEEKDAY(INDEX('iCoA Register'!$F:$F,MATCH(S19,'iCoA Register'!$P:$P,0)),2),0,0,0,0,0,2,1),0),0)))</f>
        <v/>
      </c>
      <c r="E19" s="5">
        <f>IF(ISNUMBER(F19),IF(AND(J19="legacy",F19&lt;=DATE(2026,5,27)),DATE(2026,5,27),MAX(DATE(2026,5,27),(F19+7)+CHOOSE(WEEKDAY(F19+7,2),0,0,0,0,0,2,1))),IF(J19="legacy",DATE(2026,5,27),""))</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Register'!$P:$P,0)))+CHOOSE(WEEKDAY(INDEX('iCoA Register'!$F:$F,MATCH(S20,'iCoA Register'!$P:$P,0)),2),0,0,0,0,0,2,1),0),0)))</f>
        <v/>
      </c>
      <c r="E20" s="5">
        <f>IF(ISNUMBER(F20),IF(AND(J20="legacy",F20&lt;=DATE(2026,5,27)),DATE(2026,5,27),MAX(DATE(2026,5,27),(F20+7)+CHOOSE(WEEKDAY(F20+7,2),0,0,0,0,0,2,1))),IF(J20="legacy",DATE(2026,5,27),""))</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Register'!$P:$P,0)))+CHOOSE(WEEKDAY(INDEX('iCoA Register'!$F:$F,MATCH(S21,'iCoA Register'!$P:$P,0)),2),0,0,0,0,0,2,1),0),0)))</f>
        <v/>
      </c>
      <c r="E21" s="5">
        <f>IF(ISNUMBER(F21),IF(AND(J21="legacy",F21&lt;=DATE(2026,5,27)),DATE(2026,5,27),MAX(DATE(2026,5,27),(F21+7)+CHOOSE(WEEKDAY(F21+7,2),0,0,0,0,0,2,1))),IF(J21="legacy",DATE(2026,5,27),""))</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Register'!$P:$P,0)))+CHOOSE(WEEKDAY(INDEX('iCoA Register'!$F:$F,MATCH(S22,'iCoA Register'!$P:$P,0)),2),0,0,0,0,0,2,1),0),0)))</f>
        <v/>
      </c>
      <c r="E22" s="5">
        <f>IF(ISNUMBER(F22),IF(AND(J22="legacy",F22&lt;=DATE(2026,5,27)),DATE(2026,5,27),MAX(DATE(2026,5,27),(F22+7)+CHOOSE(WEEKDAY(F22+7,2),0,0,0,0,0,2,1))),IF(J22="legacy",DATE(2026,5,27),""))</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Register'!$P:$P,0)))+CHOOSE(WEEKDAY(INDEX('iCoA Register'!$F:$F,MATCH(S23,'iCoA Register'!$P:$P,0)),2),0,0,0,0,0,2,1),0),0)))</f>
        <v/>
      </c>
      <c r="E23" s="5">
        <f>IF(ISNUMBER(F23),IF(AND(J23="legacy",F23&lt;=DATE(2026,5,27)),DATE(2026,5,27),MAX(DATE(2026,5,27),(F23+7)+CHOOSE(WEEKDAY(F23+7,2),0,0,0,0,0,2,1))),IF(J23="legacy",DATE(2026,5,27),""))</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Register'!$P:$P,0)))+CHOOSE(WEEKDAY(INDEX('iCoA Register'!$F:$F,MATCH(S24,'iCoA Register'!$P:$P,0)),2),0,0,0,0,0,2,1),0),0)))</f>
        <v/>
      </c>
      <c r="E24" s="5">
        <f>IF(ISNUMBER(F24),IF(AND(J24="legacy",F24&lt;=DATE(2026,5,27)),DATE(2026,5,27),MAX(DATE(2026,5,27),(F24+7)+CHOOSE(WEEKDAY(F24+7,2),0,0,0,0,0,2,1))),IF(J24="legacy",DATE(2026,5,27),""))</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Register'!$P:$P,0)))+CHOOSE(WEEKDAY(INDEX('iCoA Register'!$F:$F,MATCH(S25,'iCoA Register'!$P:$P,0)),2),0,0,0,0,0,2,1),0),0)))</f>
        <v/>
      </c>
      <c r="E25" s="5">
        <f>IF(ISNUMBER(F25),IF(AND(J25="legacy",F25&lt;=DATE(2026,5,27)),DATE(2026,5,27),MAX(DATE(2026,5,27),(F25+7)+CHOOSE(WEEKDAY(F25+7,2),0,0,0,0,0,2,1))),IF(J25="legacy",DATE(2026,5,27),""))</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Register'!$P:$P,0)))+CHOOSE(WEEKDAY(INDEX('iCoA Register'!$F:$F,MATCH(S26,'iCoA Register'!$P:$P,0)),2),0,0,0,0,0,2,1),0),0)))</f>
        <v/>
      </c>
      <c r="E26" s="5">
        <f>IF(ISNUMBER(F26),IF(AND(J26="legacy",F26&lt;=DATE(2026,5,27)),DATE(2026,5,27),MAX(DATE(2026,5,27),(F26+7)+CHOOSE(WEEKDAY(F26+7,2),0,0,0,0,0,2,1))),IF(J26="legacy",DATE(2026,5,27),""))</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Register'!$P:$P,0)))+CHOOSE(WEEKDAY(INDEX('iCoA Register'!$F:$F,MATCH(S27,'iCoA Register'!$P:$P,0)),2),0,0,0,0,0,2,1),0),0)))</f>
        <v/>
      </c>
      <c r="E27" s="5">
        <f>IF(ISNUMBER(F27),IF(AND(J27="legacy",F27&lt;=DATE(2026,5,27)),DATE(2026,5,27),MAX(DATE(2026,5,27),(F27+7)+CHOOSE(WEEKDAY(F27+7,2),0,0,0,0,0,2,1))),IF(J27="legacy",DATE(2026,5,27),""))</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Register'!$P:$P,0)))+CHOOSE(WEEKDAY(INDEX('iCoA Register'!$F:$F,MATCH(S28,'iCoA Register'!$P:$P,0)),2),0,0,0,0,0,2,1),0),0)))</f>
        <v/>
      </c>
      <c r="E28" s="5">
        <f>IF(ISNUMBER(F28),IF(AND(J28="legacy",F28&lt;=DATE(2026,5,27)),DATE(2026,5,27),MAX(DATE(2026,5,27),(F28+7)+CHOOSE(WEEKDAY(F28+7,2),0,0,0,0,0,2,1))),IF(J28="legacy",DATE(2026,5,27),""))</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Register'!$P:$P,0)))+CHOOSE(WEEKDAY(INDEX('iCoA Register'!$F:$F,MATCH(S29,'iCoA Register'!$P:$P,0)),2),0,0,0,0,0,2,1),0),0)))</f>
        <v/>
      </c>
      <c r="E29" s="5">
        <f>IF(ISNUMBER(F29),IF(AND(J29="legacy",F29&lt;=DATE(2026,5,27)),DATE(2026,5,27),MAX(DATE(2026,5,27),(F29+7)+CHOOSE(WEEKDAY(F29+7,2),0,0,0,0,0,2,1))),IF(J29="legacy",DATE(2026,5,27),""))</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Register'!$P:$P,0)))+CHOOSE(WEEKDAY(INDEX('iCoA Register'!$F:$F,MATCH(S30,'iCoA Register'!$P:$P,0)),2),0,0,0,0,0,2,1),0),0)))</f>
        <v/>
      </c>
      <c r="E30" s="5">
        <f>IF(ISNUMBER(F30),IF(AND(J30="legacy",F30&lt;=DATE(2026,5,27)),DATE(2026,5,27),MAX(DATE(2026,5,27),(F30+7)+CHOOSE(WEEKDAY(F30+7,2),0,0,0,0,0,2,1))),IF(J30="legacy",DATE(2026,5,27),""))</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Register'!$P:$P,0)))+CHOOSE(WEEKDAY(INDEX('iCoA Register'!$F:$F,MATCH(S31,'iCoA Register'!$P:$P,0)),2),0,0,0,0,0,2,1),0),0)))</f>
        <v/>
      </c>
      <c r="E31" s="5">
        <f>IF(ISNUMBER(F31),IF(AND(J31="legacy",F31&lt;=DATE(2026,5,27)),DATE(2026,5,27),MAX(DATE(2026,5,27),(F31+7)+CHOOSE(WEEKDAY(F31+7,2),0,0,0,0,0,2,1))),IF(J31="legacy",DATE(2026,5,27),""))</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Register'!$P:$P,0)))+CHOOSE(WEEKDAY(INDEX('iCoA Register'!$F:$F,MATCH(S32,'iCoA Register'!$P:$P,0)),2),0,0,0,0,0,2,1),0),0)))</f>
        <v/>
      </c>
      <c r="E32" s="5">
        <f>IF(ISNUMBER(F32),IF(AND(J32="legacy",F32&lt;=DATE(2026,5,27)),DATE(2026,5,27),MAX(DATE(2026,5,27),(F32+7)+CHOOSE(WEEKDAY(F32+7,2),0,0,0,0,0,2,1))),IF(J32="legacy",DATE(2026,5,27),""))</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Register'!$P:$P,0)))+CHOOSE(WEEKDAY(INDEX('iCoA Register'!$F:$F,MATCH(S33,'iCoA Register'!$P:$P,0)),2),0,0,0,0,0,2,1),0),0)))</f>
        <v/>
      </c>
      <c r="E33" s="5">
        <f>IF(ISNUMBER(F33),IF(AND(J33="legacy",F33&lt;=DATE(2026,5,27)),DATE(2026,5,27),MAX(DATE(2026,5,27),(F33+7)+CHOOSE(WEEKDAY(F33+7,2),0,0,0,0,0,2,1))),IF(J33="legacy",DATE(2026,5,27),""))</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Register'!$P:$P,0)))+CHOOSE(WEEKDAY(INDEX('iCoA Register'!$F:$F,MATCH(S34,'iCoA Register'!$P:$P,0)),2),0,0,0,0,0,2,1),0),0)))</f>
        <v/>
      </c>
      <c r="E34" s="5">
        <f>IF(ISNUMBER(F34),IF(AND(J34="legacy",F34&lt;=DATE(2026,5,27)),DATE(2026,5,27),MAX(DATE(2026,5,27),(F34+7)+CHOOSE(WEEKDAY(F34+7,2),0,0,0,0,0,2,1))),IF(J34="legacy",DATE(2026,5,27),""))</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Register'!$P:$P,0)))+CHOOSE(WEEKDAY(INDEX('iCoA Register'!$F:$F,MATCH(S35,'iCoA Register'!$P:$P,0)),2),0,0,0,0,0,2,1),0),0)))</f>
        <v/>
      </c>
      <c r="E35" s="5">
        <f>IF(ISNUMBER(F35),IF(AND(J35="legacy",F35&lt;=DATE(2026,5,27)),DATE(2026,5,27),MAX(DATE(2026,5,27),(F35+7)+CHOOSE(WEEKDAY(F35+7,2),0,0,0,0,0,2,1))),IF(J35="legacy",DATE(2026,5,27),""))</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Register'!$P:$P,0)))+CHOOSE(WEEKDAY(INDEX('iCoA Register'!$F:$F,MATCH(S36,'iCoA Register'!$P:$P,0)),2),0,0,0,0,0,2,1),0),0)))</f>
        <v/>
      </c>
      <c r="E36" s="5">
        <f>IF(ISNUMBER(F36),IF(AND(J36="legacy",F36&lt;=DATE(2026,5,27)),DATE(2026,5,27),MAX(DATE(2026,5,27),(F36+7)+CHOOSE(WEEKDAY(F36+7,2),0,0,0,0,0,2,1))),IF(J36="legacy",DATE(2026,5,27),""))</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Register'!$P:$P,0)))+CHOOSE(WEEKDAY(INDEX('iCoA Register'!$F:$F,MATCH(S37,'iCoA Register'!$P:$P,0)),2),0,0,0,0,0,2,1),0),0)))</f>
        <v/>
      </c>
      <c r="E37" s="5">
        <f>IF(ISNUMBER(F37),IF(AND(J37="legacy",F37&lt;=DATE(2026,5,27)),DATE(2026,5,27),MAX(DATE(2026,5,27),(F37+7)+CHOOSE(WEEKDAY(F37+7,2),0,0,0,0,0,2,1))),IF(J37="legacy",DATE(2026,5,27),""))</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Register'!$P:$P,0)))+CHOOSE(WEEKDAY(INDEX('iCoA Register'!$F:$F,MATCH(S38,'iCoA Register'!$P:$P,0)),2),0,0,0,0,0,2,1),0),0)))</f>
        <v/>
      </c>
      <c r="E38" s="5">
        <f>IF(ISNUMBER(F38),IF(AND(J38="legacy",F38&lt;=DATE(2026,5,27)),DATE(2026,5,27),MAX(DATE(2026,5,27),(F38+7)+CHOOSE(WEEKDAY(F38+7,2),0,0,0,0,0,2,1))),IF(J38="legacy",DATE(2026,5,27),""))</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Register'!$P:$P,0)))+CHOOSE(WEEKDAY(INDEX('iCoA Register'!$F:$F,MATCH(S39,'iCoA Register'!$P:$P,0)),2),0,0,0,0,0,2,1),0),0)))</f>
        <v/>
      </c>
      <c r="E39" s="5">
        <f>IF(ISNUMBER(F39),IF(AND(J39="legacy",F39&lt;=DATE(2026,5,27)),DATE(2026,5,27),MAX(DATE(2026,5,27),(F39+7)+CHOOSE(WEEKDAY(F39+7,2),0,0,0,0,0,2,1))),IF(J39="legacy",DATE(2026,5,27),""))</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Register'!$P:$P,0)))+CHOOSE(WEEKDAY(INDEX('iCoA Register'!$F:$F,MATCH(S40,'iCoA Register'!$P:$P,0)),2),0,0,0,0,0,2,1),0),0)))</f>
        <v/>
      </c>
      <c r="E40" s="5">
        <f>IF(ISNUMBER(F40),IF(AND(J40="legacy",F40&lt;=DATE(2026,5,27)),DATE(2026,5,27),MAX(DATE(2026,5,27),(F40+7)+CHOOSE(WEEKDAY(F40+7,2),0,0,0,0,0,2,1))),IF(J40="legacy",DATE(2026,5,27),""))</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Register'!$P:$P,0)))+CHOOSE(WEEKDAY(INDEX('iCoA Register'!$F:$F,MATCH(S41,'iCoA Register'!$P:$P,0)),2),0,0,0,0,0,2,1),0),0)))</f>
        <v/>
      </c>
      <c r="E41" s="5">
        <f>IF(ISNUMBER(F41),IF(AND(J41="legacy",F41&lt;=DATE(2026,5,27)),DATE(2026,5,27),MAX(DATE(2026,5,27),(F41+7)+CHOOSE(WEEKDAY(F41+7,2),0,0,0,0,0,2,1))),IF(J41="legacy",DATE(2026,5,27),""))</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Register'!$P:$P,0)))+CHOOSE(WEEKDAY(INDEX('iCoA Register'!$F:$F,MATCH(S42,'iCoA Register'!$P:$P,0)),2),0,0,0,0,0,2,1),0),0)))</f>
        <v/>
      </c>
      <c r="E42" s="5">
        <f>IF(ISNUMBER(F42),IF(AND(J42="legacy",F42&lt;=DATE(2026,5,27)),DATE(2026,5,27),MAX(DATE(2026,5,27),(F42+7)+CHOOSE(WEEKDAY(F42+7,2),0,0,0,0,0,2,1))),IF(J42="legacy",DATE(2026,5,27),""))</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Register'!$P:$P,0)))+CHOOSE(WEEKDAY(INDEX('iCoA Register'!$F:$F,MATCH(S43,'iCoA Register'!$P:$P,0)),2),0,0,0,0,0,2,1),0),0)))</f>
        <v/>
      </c>
      <c r="E43" s="5">
        <f>IF(ISNUMBER(F43),IF(AND(J43="legacy",F43&lt;=DATE(2026,5,27)),DATE(2026,5,27),MAX(DATE(2026,5,27),(F43+7)+CHOOSE(WEEKDAY(F43+7,2),0,0,0,0,0,2,1))),IF(J43="legacy",DATE(2026,5,27),""))</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Register'!$P:$P,0)))+CHOOSE(WEEKDAY(INDEX('iCoA Register'!$F:$F,MATCH(S44,'iCoA Register'!$P:$P,0)),2),0,0,0,0,0,2,1),0),0)))</f>
        <v/>
      </c>
      <c r="E44" s="5">
        <f>IF(ISNUMBER(F44),IF(AND(J44="legacy",F44&lt;=DATE(2026,5,27)),DATE(2026,5,27),MAX(DATE(2026,5,27),(F44+7)+CHOOSE(WEEKDAY(F44+7,2),0,0,0,0,0,2,1))),IF(J44="legacy",DATE(2026,5,27),""))</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Register'!$P:$P,0)))+CHOOSE(WEEKDAY(INDEX('iCoA Register'!$F:$F,MATCH(S45,'iCoA Register'!$P:$P,0)),2),0,0,0,0,0,2,1),0),0)))</f>
        <v/>
      </c>
      <c r="E45" s="5">
        <f>IF(ISNUMBER(F45),IF(AND(J45="legacy",F45&lt;=DATE(2026,5,27)),DATE(2026,5,27),MAX(DATE(2026,5,27),(F45+7)+CHOOSE(WEEKDAY(F45+7,2),0,0,0,0,0,2,1))),IF(J45="legacy",DATE(2026,5,27),""))</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Register'!$P:$P,0)))+CHOOSE(WEEKDAY(INDEX('iCoA Register'!$F:$F,MATCH(S46,'iCoA Register'!$P:$P,0)),2),0,0,0,0,0,2,1),0),0)))</f>
        <v/>
      </c>
      <c r="E46" s="5">
        <f>IF(ISNUMBER(F46),IF(AND(J46="legacy",F46&lt;=DATE(2026,5,27)),DATE(2026,5,27),MAX(DATE(2026,5,27),(F46+7)+CHOOSE(WEEKDAY(F46+7,2),0,0,0,0,0,2,1))),IF(J46="legacy",DATE(2026,5,27),""))</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Register'!$P:$P,0)))+CHOOSE(WEEKDAY(INDEX('iCoA Register'!$F:$F,MATCH(S47,'iCoA Register'!$P:$P,0)),2),0,0,0,0,0,2,1),0),0)))</f>
        <v/>
      </c>
      <c r="E47" s="5">
        <f>IF(ISNUMBER(F47),IF(AND(J47="legacy",F47&lt;=DATE(2026,5,27)),DATE(2026,5,27),MAX(DATE(2026,5,27),(F47+7)+CHOOSE(WEEKDAY(F47+7,2),0,0,0,0,0,2,1))),IF(J47="legacy",DATE(2026,5,27),""))</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Register'!$P:$P,0)))+CHOOSE(WEEKDAY(INDEX('iCoA Register'!$F:$F,MATCH(S48,'iCoA Register'!$P:$P,0)),2),0,0,0,0,0,2,1),0),0)))</f>
        <v/>
      </c>
      <c r="E48" s="5">
        <f>IF(ISNUMBER(F48),IF(AND(J48="legacy",F48&lt;=DATE(2026,5,27)),DATE(2026,5,27),MAX(DATE(2026,5,27),(F48+7)+CHOOSE(WEEKDAY(F48+7,2),0,0,0,0,0,2,1))),IF(J48="legacy",DATE(2026,5,27),""))</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Register'!$P:$P,0)))+CHOOSE(WEEKDAY(INDEX('iCoA Register'!$F:$F,MATCH(S49,'iCoA Register'!$P:$P,0)),2),0,0,0,0,0,2,1),0),0)))</f>
        <v/>
      </c>
      <c r="E49" s="5">
        <f>IF(ISNUMBER(F49),IF(AND(J49="legacy",F49&lt;=DATE(2026,5,27)),DATE(2026,5,27),MAX(DATE(2026,5,27),(F49+7)+CHOOSE(WEEKDAY(F49+7,2),0,0,0,0,0,2,1))),IF(J49="legacy",DATE(2026,5,27),""))</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Register'!$P:$P,0)))+CHOOSE(WEEKDAY(INDEX('iCoA Register'!$F:$F,MATCH(S50,'iCoA Register'!$P:$P,0)),2),0,0,0,0,0,2,1),0),0)))</f>
        <v/>
      </c>
      <c r="E50" s="5">
        <f>IF(ISNUMBER(F50),IF(AND(J50="legacy",F50&lt;=DATE(2026,5,27)),DATE(2026,5,27),MAX(DATE(2026,5,27),(F50+7)+CHOOSE(WEEKDAY(F50+7,2),0,0,0,0,0,2,1))),IF(J50="legacy",DATE(2026,5,27),""))</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Register'!$P:$P,0)))+CHOOSE(WEEKDAY(INDEX('iCoA Register'!$F:$F,MATCH(S51,'iCoA Register'!$P:$P,0)),2),0,0,0,0,0,2,1),0),0)))</f>
        <v/>
      </c>
      <c r="E51" s="5">
        <f>IF(ISNUMBER(F51),IF(AND(J51="legacy",F51&lt;=DATE(2026,5,27)),DATE(2026,5,27),MAX(DATE(2026,5,27),(F51+7)+CHOOSE(WEEKDAY(F51+7,2),0,0,0,0,0,2,1))),IF(J51="legacy",DATE(2026,5,27),""))</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Register'!$P:$P,0)))+CHOOSE(WEEKDAY(INDEX('iCoA Register'!$F:$F,MATCH(S52,'iCoA Register'!$P:$P,0)),2),0,0,0,0,0,2,1),0),0)))</f>
        <v/>
      </c>
      <c r="E52" s="5">
        <f>IF(ISNUMBER(F52),IF(AND(J52="legacy",F52&lt;=DATE(2026,5,27)),DATE(2026,5,27),MAX(DATE(2026,5,27),(F52+7)+CHOOSE(WEEKDAY(F52+7,2),0,0,0,0,0,2,1))),IF(J52="legacy",DATE(2026,5,27),""))</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Register'!$P:$P,0)))+CHOOSE(WEEKDAY(INDEX('iCoA Register'!$F:$F,MATCH(S53,'iCoA Register'!$P:$P,0)),2),0,0,0,0,0,2,1),0),0)))</f>
        <v/>
      </c>
      <c r="E53" s="5">
        <f>IF(ISNUMBER(F53),IF(AND(J53="legacy",F53&lt;=DATE(2026,5,27)),DATE(2026,5,27),MAX(DATE(2026,5,27),(F53+7)+CHOOSE(WEEKDAY(F53+7,2),0,0,0,0,0,2,1))),IF(J53="legacy",DATE(2026,5,27),""))</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Register'!$P:$P,0)))+CHOOSE(WEEKDAY(INDEX('iCoA Register'!$F:$F,MATCH(S54,'iCoA Register'!$P:$P,0)),2),0,0,0,0,0,2,1),0),0)))</f>
        <v/>
      </c>
      <c r="E54" s="5">
        <f>IF(ISNUMBER(F54),IF(AND(J54="legacy",F54&lt;=DATE(2026,5,27)),DATE(2026,5,27),MAX(DATE(2026,5,27),(F54+7)+CHOOSE(WEEKDAY(F54+7,2),0,0,0,0,0,2,1))),IF(J54="legacy",DATE(2026,5,27),""))</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Register'!$P:$P,0)))+CHOOSE(WEEKDAY(INDEX('iCoA Register'!$F:$F,MATCH(S55,'iCoA Register'!$P:$P,0)),2),0,0,0,0,0,2,1),0),0)))</f>
        <v/>
      </c>
      <c r="E55" s="5">
        <f>IF(ISNUMBER(F55),IF(AND(J55="legacy",F55&lt;=DATE(2026,5,27)),DATE(2026,5,27),MAX(DATE(2026,5,27),(F55+7)+CHOOSE(WEEKDAY(F55+7,2),0,0,0,0,0,2,1))),IF(J55="legacy",DATE(2026,5,27),""))</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Register'!$P:$P,0)))+CHOOSE(WEEKDAY(INDEX('iCoA Register'!$F:$F,MATCH(S56,'iCoA Register'!$P:$P,0)),2),0,0,0,0,0,2,1),0),0)))</f>
        <v/>
      </c>
      <c r="E56" s="5">
        <f>IF(ISNUMBER(F56),IF(AND(J56="legacy",F56&lt;=DATE(2026,5,27)),DATE(2026,5,27),MAX(DATE(2026,5,27),(F56+7)+CHOOSE(WEEKDAY(F56+7,2),0,0,0,0,0,2,1))),IF(J56="legacy",DATE(2026,5,27),""))</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Register'!$P:$P,0)))+CHOOSE(WEEKDAY(INDEX('iCoA Register'!$F:$F,MATCH(S57,'iCoA Register'!$P:$P,0)),2),0,0,0,0,0,2,1),0),0)))</f>
        <v/>
      </c>
      <c r="E57" s="5">
        <f>IF(ISNUMBER(F57),IF(AND(J57="legacy",F57&lt;=DATE(2026,5,27)),DATE(2026,5,27),MAX(DATE(2026,5,27),(F57+7)+CHOOSE(WEEKDAY(F57+7,2),0,0,0,0,0,2,1))),IF(J57="legacy",DATE(2026,5,27),""))</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Register'!$P:$P,0)))+CHOOSE(WEEKDAY(INDEX('iCoA Register'!$F:$F,MATCH(S58,'iCoA Register'!$P:$P,0)),2),0,0,0,0,0,2,1),0),0)))</f>
        <v/>
      </c>
      <c r="E58" s="5">
        <f>IF(ISNUMBER(F58),IF(AND(J58="legacy",F58&lt;=DATE(2026,5,27)),DATE(2026,5,27),MAX(DATE(2026,5,27),(F58+7)+CHOOSE(WEEKDAY(F58+7,2),0,0,0,0,0,2,1))),IF(J58="legacy",DATE(2026,5,27),""))</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Register'!$P:$P,0)))+CHOOSE(WEEKDAY(INDEX('iCoA Register'!$F:$F,MATCH(S59,'iCoA Register'!$P:$P,0)),2),0,0,0,0,0,2,1),0),0)))</f>
        <v/>
      </c>
      <c r="E59" s="5">
        <f>IF(ISNUMBER(F59),IF(AND(J59="legacy",F59&lt;=DATE(2026,5,27)),DATE(2026,5,27),MAX(DATE(2026,5,27),(F59+7)+CHOOSE(WEEKDAY(F59+7,2),0,0,0,0,0,2,1))),IF(J59="legacy",DATE(2026,5,27),""))</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Register'!$P:$P,0)))+CHOOSE(WEEKDAY(INDEX('iCoA Register'!$F:$F,MATCH(S60,'iCoA Register'!$P:$P,0)),2),0,0,0,0,0,2,1),0),0)))</f>
        <v/>
      </c>
      <c r="E60" s="5">
        <f>IF(ISNUMBER(F60),IF(AND(J60="legacy",F60&lt;=DATE(2026,5,27)),DATE(2026,5,27),MAX(DATE(2026,5,27),(F60+7)+CHOOSE(WEEKDAY(F60+7,2),0,0,0,0,0,2,1))),IF(J60="legacy",DATE(2026,5,27),""))</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Register'!$P:$P,0)))+CHOOSE(WEEKDAY(INDEX('iCoA Register'!$F:$F,MATCH(S61,'iCoA Register'!$P:$P,0)),2),0,0,0,0,0,2,1),0),0)))</f>
        <v/>
      </c>
      <c r="E61" s="5">
        <f>IF(ISNUMBER(F61),IF(AND(J61="legacy",F61&lt;=DATE(2026,5,27)),DATE(2026,5,27),MAX(DATE(2026,5,27),(F61+7)+CHOOSE(WEEKDAY(F61+7,2),0,0,0,0,0,2,1))),IF(J61="legacy",DATE(2026,5,27),""))</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Register'!$P:$P,0)))+CHOOSE(WEEKDAY(INDEX('iCoA Register'!$F:$F,MATCH(S62,'iCoA Register'!$P:$P,0)),2),0,0,0,0,0,2,1),0),0)))</f>
        <v/>
      </c>
      <c r="E62" s="5">
        <f>IF(ISNUMBER(F62),IF(AND(J62="legacy",F62&lt;=DATE(2026,5,27)),DATE(2026,5,27),MAX(DATE(2026,5,27),(F62+7)+CHOOSE(WEEKDAY(F62+7,2),0,0,0,0,0,2,1))),IF(J62="legacy",DATE(2026,5,27),""))</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Register'!$P:$P,0)))+CHOOSE(WEEKDAY(INDEX('iCoA Register'!$F:$F,MATCH(S63,'iCoA Register'!$P:$P,0)),2),0,0,0,0,0,2,1),0),0)))</f>
        <v/>
      </c>
      <c r="E63" s="5">
        <f>IF(ISNUMBER(F63),IF(AND(J63="legacy",F63&lt;=DATE(2026,5,27)),DATE(2026,5,27),MAX(DATE(2026,5,27),(F63+7)+CHOOSE(WEEKDAY(F63+7,2),0,0,0,0,0,2,1))),IF(J63="legacy",DATE(2026,5,27),""))</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Register'!$P:$P,0)))+CHOOSE(WEEKDAY(INDEX('iCoA Register'!$F:$F,MATCH(S64,'iCoA Register'!$P:$P,0)),2),0,0,0,0,0,2,1),0),0)))</f>
        <v/>
      </c>
      <c r="E64" s="5">
        <f>IF(ISNUMBER(F64),IF(AND(J64="legacy",F64&lt;=DATE(2026,5,27)),DATE(2026,5,27),MAX(DATE(2026,5,27),(F64+7)+CHOOSE(WEEKDAY(F64+7,2),0,0,0,0,0,2,1))),IF(J64="legacy",DATE(2026,5,27),""))</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Register'!$P:$P,0)))+CHOOSE(WEEKDAY(INDEX('iCoA Register'!$F:$F,MATCH(S65,'iCoA Register'!$P:$P,0)),2),0,0,0,0,0,2,1),0),0)))</f>
        <v/>
      </c>
      <c r="E65" s="5">
        <f>IF(ISNUMBER(F65),IF(AND(J65="legacy",F65&lt;=DATE(2026,5,27)),DATE(2026,5,27),MAX(DATE(2026,5,27),(F65+7)+CHOOSE(WEEKDAY(F65+7,2),0,0,0,0,0,2,1))),IF(J65="legacy",DATE(2026,5,27),""))</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Register'!$P:$P,0)))+CHOOSE(WEEKDAY(INDEX('iCoA Register'!$F:$F,MATCH(S66,'iCoA Register'!$P:$P,0)),2),0,0,0,0,0,2,1),0),0)))</f>
        <v/>
      </c>
      <c r="E66" s="5">
        <f>IF(ISNUMBER(F66),IF(AND(J66="legacy",F66&lt;=DATE(2026,5,27)),DATE(2026,5,27),MAX(DATE(2026,5,27),(F66+7)+CHOOSE(WEEKDAY(F66+7,2),0,0,0,0,0,2,1))),IF(J66="legacy",DATE(2026,5,27),""))</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Register'!$P:$P,0)))+CHOOSE(WEEKDAY(INDEX('iCoA Register'!$F:$F,MATCH(S67,'iCoA Register'!$P:$P,0)),2),0,0,0,0,0,2,1),0),0)))</f>
        <v/>
      </c>
      <c r="E67" s="5">
        <f>IF(ISNUMBER(F67),IF(AND(J67="legacy",F67&lt;=DATE(2026,5,27)),DATE(2026,5,27),MAX(DATE(2026,5,27),(F67+7)+CHOOSE(WEEKDAY(F67+7,2),0,0,0,0,0,2,1))),IF(J67="legacy",DATE(2026,5,27),""))</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Register'!$P:$P,0)))+CHOOSE(WEEKDAY(INDEX('iCoA Register'!$F:$F,MATCH(S68,'iCoA Register'!$P:$P,0)),2),0,0,0,0,0,2,1),0),0)))</f>
        <v/>
      </c>
      <c r="E68" s="5">
        <f>IF(ISNUMBER(F68),IF(AND(J68="legacy",F68&lt;=DATE(2026,5,27)),DATE(2026,5,27),MAX(DATE(2026,5,27),(F68+7)+CHOOSE(WEEKDAY(F68+7,2),0,0,0,0,0,2,1))),IF(J68="legacy",DATE(2026,5,27),""))</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Register'!$P:$P,0)))+CHOOSE(WEEKDAY(INDEX('iCoA Register'!$F:$F,MATCH(S69,'iCoA Register'!$P:$P,0)),2),0,0,0,0,0,2,1),0),0)))</f>
        <v/>
      </c>
      <c r="E69" s="5">
        <f>IF(ISNUMBER(F69),IF(AND(J69="legacy",F69&lt;=DATE(2026,5,27)),DATE(2026,5,27),MAX(DATE(2026,5,27),(F69+7)+CHOOSE(WEEKDAY(F69+7,2),0,0,0,0,0,2,1))),IF(J69="legacy",DATE(2026,5,27),""))</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Register'!$P:$P,0)))+CHOOSE(WEEKDAY(INDEX('iCoA Register'!$F:$F,MATCH(S70,'iCoA Register'!$P:$P,0)),2),0,0,0,0,0,2,1),0),0)))</f>
        <v/>
      </c>
      <c r="E70" s="5">
        <f>IF(ISNUMBER(F70),IF(AND(J70="legacy",F70&lt;=DATE(2026,5,27)),DATE(2026,5,27),MAX(DATE(2026,5,27),(F70+7)+CHOOSE(WEEKDAY(F70+7,2),0,0,0,0,0,2,1))),IF(J70="legacy",DATE(2026,5,27),""))</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Register'!$P:$P,0)))+CHOOSE(WEEKDAY(INDEX('iCoA Register'!$F:$F,MATCH(S71,'iCoA Register'!$P:$P,0)),2),0,0,0,0,0,2,1),0),0)))</f>
        <v/>
      </c>
      <c r="E71" s="5">
        <f>IF(ISNUMBER(F71),IF(AND(J71="legacy",F71&lt;=DATE(2026,5,27)),DATE(2026,5,27),MAX(DATE(2026,5,27),(F71+7)+CHOOSE(WEEKDAY(F71+7,2),0,0,0,0,0,2,1))),IF(J71="legacy",DATE(2026,5,27),""))</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Register'!$P:$P,0)))+CHOOSE(WEEKDAY(INDEX('iCoA Register'!$F:$F,MATCH(S72,'iCoA Register'!$P:$P,0)),2),0,0,0,0,0,2,1),0),0)))</f>
        <v/>
      </c>
      <c r="E72" s="5">
        <f>IF(ISNUMBER(F72),IF(AND(J72="legacy",F72&lt;=DATE(2026,5,27)),DATE(2026,5,27),MAX(DATE(2026,5,27),(F72+7)+CHOOSE(WEEKDAY(F72+7,2),0,0,0,0,0,2,1))),IF(J72="legacy",DATE(2026,5,27),""))</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Register'!$P:$P,0)))+CHOOSE(WEEKDAY(INDEX('iCoA Register'!$F:$F,MATCH(S73,'iCoA Register'!$P:$P,0)),2),0,0,0,0,0,2,1),0),0)))</f>
        <v/>
      </c>
      <c r="E73" s="5">
        <f>IF(ISNUMBER(F73),IF(AND(J73="legacy",F73&lt;=DATE(2026,5,27)),DATE(2026,5,27),MAX(DATE(2026,5,27),(F73+7)+CHOOSE(WEEKDAY(F73+7,2),0,0,0,0,0,2,1))),IF(J73="legacy",DATE(2026,5,27),""))</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Register'!$P:$P,0)))+CHOOSE(WEEKDAY(INDEX('iCoA Register'!$F:$F,MATCH(S74,'iCoA Register'!$P:$P,0)),2),0,0,0,0,0,2,1),0),0)))</f>
        <v/>
      </c>
      <c r="E74" s="5">
        <f>IF(ISNUMBER(F74),IF(AND(J74="legacy",F74&lt;=DATE(2026,5,27)),DATE(2026,5,27),MAX(DATE(2026,5,27),(F74+7)+CHOOSE(WEEKDAY(F74+7,2),0,0,0,0,0,2,1))),IF(J74="legacy",DATE(2026,5,27),""))</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Register'!$P:$P,0)))+CHOOSE(WEEKDAY(INDEX('iCoA Register'!$F:$F,MATCH(S75,'iCoA Register'!$P:$P,0)),2),0,0,0,0,0,2,1),0),0)))</f>
        <v/>
      </c>
      <c r="E75" s="5">
        <f>IF(ISNUMBER(F75),IF(AND(J75="legacy",F75&lt;=DATE(2026,5,27)),DATE(2026,5,27),MAX(DATE(2026,5,27),(F75+7)+CHOOSE(WEEKDAY(F75+7,2),0,0,0,0,0,2,1))),IF(J75="legacy",DATE(2026,5,27),""))</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Register'!$P:$P,0)))+CHOOSE(WEEKDAY(INDEX('iCoA Register'!$F:$F,MATCH(S76,'iCoA Register'!$P:$P,0)),2),0,0,0,0,0,2,1),0),0)))</f>
        <v/>
      </c>
      <c r="E76" s="5">
        <f>IF(ISNUMBER(F76),IF(AND(J76="legacy",F76&lt;=DATE(2026,5,27)),DATE(2026,5,27),MAX(DATE(2026,5,27),(F76+7)+CHOOSE(WEEKDAY(F76+7,2),0,0,0,0,0,2,1))),IF(J76="legacy",DATE(2026,5,27),""))</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Register'!$P:$P,0)))+CHOOSE(WEEKDAY(INDEX('iCoA Register'!$F:$F,MATCH(S77,'iCoA Register'!$P:$P,0)),2),0,0,0,0,0,2,1),0),0)))</f>
        <v/>
      </c>
      <c r="E77" s="5">
        <f>IF(ISNUMBER(F77),IF(AND(J77="legacy",F77&lt;=DATE(2026,5,27)),DATE(2026,5,27),MAX(DATE(2026,5,27),(F77+7)+CHOOSE(WEEKDAY(F77+7,2),0,0,0,0,0,2,1))),IF(J77="legacy",DATE(2026,5,27),""))</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Register'!$P:$P,0)))+CHOOSE(WEEKDAY(INDEX('iCoA Register'!$F:$F,MATCH(S78,'iCoA Register'!$P:$P,0)),2),0,0,0,0,0,2,1),0),0)))</f>
        <v/>
      </c>
      <c r="E78" s="5">
        <f>IF(ISNUMBER(F78),IF(AND(J78="legacy",F78&lt;=DATE(2026,5,27)),DATE(2026,5,27),MAX(DATE(2026,5,27),(F78+7)+CHOOSE(WEEKDAY(F78+7,2),0,0,0,0,0,2,1))),IF(J78="legacy",DATE(2026,5,27),""))</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Register'!$P:$P,0)))+CHOOSE(WEEKDAY(INDEX('iCoA Register'!$F:$F,MATCH(S79,'iCoA Register'!$P:$P,0)),2),0,0,0,0,0,2,1),0),0)))</f>
        <v/>
      </c>
      <c r="E79" s="5">
        <f>IF(ISNUMBER(F79),IF(AND(J79="legacy",F79&lt;=DATE(2026,5,27)),DATE(2026,5,27),MAX(DATE(2026,5,27),(F79+7)+CHOOSE(WEEKDAY(F79+7,2),0,0,0,0,0,2,1))),IF(J79="legacy",DATE(2026,5,27),""))</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Register'!$P:$P,0)))+CHOOSE(WEEKDAY(INDEX('iCoA Register'!$F:$F,MATCH(S80,'iCoA Register'!$P:$P,0)),2),0,0,0,0,0,2,1),0),0)))</f>
        <v/>
      </c>
      <c r="E80" s="5">
        <f>IF(ISNUMBER(F80),IF(AND(J80="legacy",F80&lt;=DATE(2026,5,27)),DATE(2026,5,27),MAX(DATE(2026,5,27),(F80+7)+CHOOSE(WEEKDAY(F80+7,2),0,0,0,0,0,2,1))),IF(J80="legacy",DATE(2026,5,27),""))</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Register'!$P:$P,0)))+CHOOSE(WEEKDAY(INDEX('iCoA Register'!$F:$F,MATCH(S81,'iCoA Register'!$P:$P,0)),2),0,0,0,0,0,2,1),0),0)))</f>
        <v/>
      </c>
      <c r="E81" s="5">
        <f>IF(ISNUMBER(F81),IF(AND(J81="legacy",F81&lt;=DATE(2026,5,27)),DATE(2026,5,27),MAX(DATE(2026,5,27),(F81+7)+CHOOSE(WEEKDAY(F81+7,2),0,0,0,0,0,2,1))),IF(J81="legacy",DATE(2026,5,27),""))</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Register'!$P:$P,0)))+CHOOSE(WEEKDAY(INDEX('iCoA Register'!$F:$F,MATCH(S82,'iCoA Register'!$P:$P,0)),2),0,0,0,0,0,2,1),0),0)))</f>
        <v/>
      </c>
      <c r="E82" s="5">
        <f>IF(ISNUMBER(F82),IF(AND(J82="legacy",F82&lt;=DATE(2026,5,27)),DATE(2026,5,27),MAX(DATE(2026,5,27),(F82+7)+CHOOSE(WEEKDAY(F82+7,2),0,0,0,0,0,2,1))),IF(J82="legacy",DATE(2026,5,27),""))</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Register'!$P:$P,0)))+CHOOSE(WEEKDAY(INDEX('iCoA Register'!$F:$F,MATCH(S83,'iCoA Register'!$P:$P,0)),2),0,0,0,0,0,2,1),0),0)))</f>
        <v/>
      </c>
      <c r="E83" s="5">
        <f>IF(ISNUMBER(F83),IF(AND(J83="legacy",F83&lt;=DATE(2026,5,27)),DATE(2026,5,27),MAX(DATE(2026,5,27),(F83+7)+CHOOSE(WEEKDAY(F83+7,2),0,0,0,0,0,2,1))),IF(J83="legacy",DATE(2026,5,27),""))</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Register'!$P:$P,0)))+CHOOSE(WEEKDAY(INDEX('iCoA Register'!$F:$F,MATCH(S84,'iCoA Register'!$P:$P,0)),2),0,0,0,0,0,2,1),0),0)))</f>
        <v/>
      </c>
      <c r="E84" s="5">
        <f>IF(ISNUMBER(F84),IF(AND(J84="legacy",F84&lt;=DATE(2026,5,27)),DATE(2026,5,27),MAX(DATE(2026,5,27),(F84+7)+CHOOSE(WEEKDAY(F84+7,2),0,0,0,0,0,2,1))),IF(J84="legacy",DATE(2026,5,27),""))</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Register'!$P:$P,0)))+CHOOSE(WEEKDAY(INDEX('iCoA Register'!$F:$F,MATCH(S85,'iCoA Register'!$P:$P,0)),2),0,0,0,0,0,2,1),0),0)))</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Register'!$P:$P,0)))+CHOOSE(WEEKDAY(INDEX('iCoA Register'!$F:$F,MATCH(S86,'iCoA Register'!$P:$P,0)),2),0,0,0,0,0,2,1),0),0)))</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Register'!$P:$P,0)))+CHOOSE(WEEKDAY(INDEX('iCoA Register'!$F:$F,MATCH(S87,'iCoA Register'!$P:$P,0)),2),0,0,0,0,0,2,1),0),0)))</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Register'!$P:$P,0)))+CHOOSE(WEEKDAY(INDEX('iCoA Register'!$F:$F,MATCH(S88,'iCoA Register'!$P:$P,0)),2),0,0,0,0,0,2,1),0),0)))</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Register'!$P:$P,0)))+CHOOSE(WEEKDAY(INDEX('iCoA Register'!$F:$F,MATCH(S89,'iCoA Register'!$P:$P,0)),2),0,0,0,0,0,2,1),0),0)))</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Register'!$P:$P,0)))+CHOOSE(WEEKDAY(INDEX('iCoA Register'!$F:$F,MATCH(S90,'iCoA Register'!$P:$P,0)),2),0,0,0,0,0,2,1),0),0)))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Register'!$P:$P,0)))+CHOOSE(WEEKDAY(INDEX('iCoA Register'!$F:$F,MATCH(S91,'iCoA Register'!$P:$P,0)),2),0,0,0,0,0,2,1),0),0)))</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Register'!$P:$P,0)))+CHOOSE(WEEKDAY(INDEX('iCoA Register'!$F:$F,MATCH(S92,'iCoA Register'!$P:$P,0)),2),0,0,0,0,0,2,1),0),0)))</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Register'!$P:$P,0)))+CHOOSE(WEEKDAY(INDEX('iCoA Register'!$F:$F,MATCH(S93,'iCoA Register'!$P:$P,0)),2),0,0,0,0,0,2,1),0),0)))</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Register'!$P:$P,0)))+CHOOSE(WEEKDAY(INDEX('iCoA Register'!$F:$F,MATCH(S94,'iCoA Register'!$P:$P,0)),2),0,0,0,0,0,2,1),0),0)))</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Register'!$P:$P,0)))+CHOOSE(WEEKDAY(INDEX('iCoA Register'!$F:$F,MATCH(S95,'iCoA Register'!$P:$P,0)),2),0,0,0,0,0,2,1),0),0)))</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Register'!$P:$P,0)))+CHOOSE(WEEKDAY(INDEX('iCoA Register'!$F:$F,MATCH(S96,'iCoA Register'!$P:$P,0)),2),0,0,0,0,0,2,1),0),0)))</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Register'!$P:$P,0)))+CHOOSE(WEEKDAY(INDEX('iCoA Register'!$F:$F,MATCH(S97,'iCoA Register'!$P:$P,0)),2),0,0,0,0,0,2,1),0),0)))</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Register'!$P:$P,0)))+CHOOSE(WEEKDAY(INDEX('iCoA Register'!$F:$F,MATCH(S98,'iCoA Register'!$P:$P,0)),2),0,0,0,0,0,2,1),0),0)))</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Register'!$P:$P,0)))+CHOOSE(WEEKDAY(INDEX('iCoA Register'!$F:$F,MATCH(S99,'iCoA Register'!$P:$P,0)),2),0,0,0,0,0,2,1),0),0)))</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Register'!$P:$P,0)))+CHOOSE(WEEKDAY(INDEX('iCoA Register'!$F:$F,MATCH(S100,'iCoA Register'!$P:$P,0)),2),0,0,0,0,0,2,1),0),0)))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Register'!$P:$P,0)))+CHOOSE(WEEKDAY(INDEX('iCoA Register'!$F:$F,MATCH(S101,'iCoA Register'!$P:$P,0)),2),0,0,0,0,0,2,1),0),0)))</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Register'!$P:$P,0)))+CHOOSE(WEEKDAY(INDEX('iCoA Register'!$F:$F,MATCH(S102,'iCoA Register'!$P:$P,0)),2),0,0,0,0,0,2,1),0),0)))</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Register'!$P:$P,0)))+CHOOSE(WEEKDAY(INDEX('iCoA Register'!$F:$F,MATCH(S103,'iCoA Register'!$P:$P,0)),2),0,0,0,0,0,2,1),0),0)))</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Register'!$P:$P,0)))+CHOOSE(WEEKDAY(INDEX('iCoA Register'!$F:$F,MATCH(S104,'iCoA Register'!$P:$P,0)),2),0,0,0,0,0,2,1),0),0)))</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Register'!$P:$P,0)))+CHOOSE(WEEKDAY(INDEX('iCoA Register'!$F:$F,MATCH(S105,'iCoA Register'!$P:$P,0)),2),0,0,0,0,0,2,1),0),0)))</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Register'!$P:$P,0)))+CHOOSE(WEEKDAY(INDEX('iCoA Register'!$F:$F,MATCH(S106,'iCoA Register'!$P:$P,0)),2),0,0,0,0,0,2,1),0),0)))</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Register'!$P:$P,0)))+CHOOSE(WEEKDAY(INDEX('iCoA Register'!$F:$F,MATCH(S107,'iCoA Register'!$P:$P,0)),2),0,0,0,0,0,2,1),0),0)))</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Register'!$P:$P,0)))+CHOOSE(WEEKDAY(INDEX('iCoA Register'!$F:$F,MATCH(S108,'iCoA Register'!$P:$P,0)),2),0,0,0,0,0,2,1),0),0)))</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Register'!$P:$P,0)))+CHOOSE(WEEKDAY(INDEX('iCoA Register'!$F:$F,MATCH(S109,'iCoA Register'!$P:$P,0)),2),0,0,0,0,0,2,1),0),0)))</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Register'!$P:$P,0)))+CHOOSE(WEEKDAY(INDEX('iCoA Register'!$F:$F,MATCH(S110,'iCoA Register'!$P:$P,0)),2),0,0,0,0,0,2,1),0),0)))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Register'!$P:$P,0)))+CHOOSE(WEEKDAY(INDEX('iCoA Register'!$F:$F,MATCH(S111,'iCoA Register'!$P:$P,0)),2),0,0,0,0,0,2,1),0),0)))</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Register'!$P:$P,0)))+CHOOSE(WEEKDAY(INDEX('iCoA Register'!$F:$F,MATCH(S112,'iCoA Register'!$P:$P,0)),2),0,0,0,0,0,2,1),0),0)))</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Register'!$P:$P,0)))+CHOOSE(WEEKDAY(INDEX('iCoA Register'!$F:$F,MATCH(S113,'iCoA Register'!$P:$P,0)),2),0,0,0,0,0,2,1),0),0)))</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Register'!$P:$P,0)))+CHOOSE(WEEKDAY(INDEX('iCoA Register'!$F:$F,MATCH(S114,'iCoA Register'!$P:$P,0)),2),0,0,0,0,0,2,1),0),0)))</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Register'!$P:$P,0)))+CHOOSE(WEEKDAY(INDEX('iCoA Register'!$F:$F,MATCH(S115,'iCoA Register'!$P:$P,0)),2),0,0,0,0,0,2,1),0),0)))</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Register'!$P:$P,0)))+CHOOSE(WEEKDAY(INDEX('iCoA Register'!$F:$F,MATCH(S116,'iCoA Register'!$P:$P,0)),2),0,0,0,0,0,2,1),0),0)))</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Register'!$P:$P,0)))+CHOOSE(WEEKDAY(INDEX('iCoA Register'!$F:$F,MATCH(S117,'iCoA Register'!$P:$P,0)),2),0,0,0,0,0,2,1),0),0)))</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Register'!$P:$P,0)))+CHOOSE(WEEKDAY(INDEX('iCoA Register'!$F:$F,MATCH(S118,'iCoA Register'!$P:$P,0)),2),0,0,0,0,0,2,1),0),0)))</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Register'!$P:$P,0)))+CHOOSE(WEEKDAY(INDEX('iCoA Register'!$F:$F,MATCH(S119,'iCoA Register'!$P:$P,0)),2),0,0,0,0,0,2,1),0),0)))</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Register'!$P:$P,0)))+CHOOSE(WEEKDAY(INDEX('iCoA Register'!$F:$F,MATCH(S120,'iCoA Register'!$P:$P,0)),2),0,0,0,0,0,2,1),0),0)))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Register'!$P:$P,0)))+CHOOSE(WEEKDAY(INDEX('iCoA Register'!$F:$F,MATCH(S121,'iCoA Register'!$P:$P,0)),2),0,0,0,0,0,2,1),0),0)))</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Register'!$P:$P,0)))+CHOOSE(WEEKDAY(INDEX('iCoA Register'!$F:$F,MATCH(S122,'iCoA Register'!$P:$P,0)),2),0,0,0,0,0,2,1),0),0)))</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Register'!$P:$P,0)))+CHOOSE(WEEKDAY(INDEX('iCoA Register'!$F:$F,MATCH(S123,'iCoA Register'!$P:$P,0)),2),0,0,0,0,0,2,1),0),0)))</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Register'!$P:$P,0)))+CHOOSE(WEEKDAY(INDEX('iCoA Register'!$F:$F,MATCH(S124,'iCoA Register'!$P:$P,0)),2),0,0,0,0,0,2,1),0),0)))</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Register'!$P:$P,0)))+CHOOSE(WEEKDAY(INDEX('iCoA Register'!$F:$F,MATCH(S125,'iCoA Register'!$P:$P,0)),2),0,0,0,0,0,2,1),0),0)))</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Register'!$P:$P,0)))+CHOOSE(WEEKDAY(INDEX('iCoA Register'!$F:$F,MATCH(S126,'iCoA Register'!$P:$P,0)),2),0,0,0,0,0,2,1),0),0)))</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Register'!$P:$P,0)))+CHOOSE(WEEKDAY(INDEX('iCoA Register'!$F:$F,MATCH(S127,'iCoA Register'!$P:$P,0)),2),0,0,0,0,0,2,1),0),0)))</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Register'!$P:$P,0)))+CHOOSE(WEEKDAY(INDEX('iCoA Register'!$F:$F,MATCH(S128,'iCoA Register'!$P:$P,0)),2),0,0,0,0,0,2,1),0),0)))</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Register'!$P:$P,0)))+CHOOSE(WEEKDAY(INDEX('iCoA Register'!$F:$F,MATCH(S129,'iCoA Register'!$P:$P,0)),2),0,0,0,0,0,2,1),0),0)))</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Register'!$P:$P,0)))+CHOOSE(WEEKDAY(INDEX('iCoA Register'!$F:$F,MATCH(S130,'iCoA Register'!$P:$P,0)),2),0,0,0,0,0,2,1),0),0)))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Register'!$P:$P,0)))+CHOOSE(WEEKDAY(INDEX('iCoA Register'!$F:$F,MATCH(S131,'iCoA Register'!$P:$P,0)),2),0,0,0,0,0,2,1),0),0)))</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Register'!$P:$P,0)))+CHOOSE(WEEKDAY(INDEX('iCoA Register'!$F:$F,MATCH(S132,'iCoA Register'!$P:$P,0)),2),0,0,0,0,0,2,1),0),0)))</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Register'!$P:$P,0)))+CHOOSE(WEEKDAY(INDEX('iCoA Register'!$F:$F,MATCH(S133,'iCoA Register'!$P:$P,0)),2),0,0,0,0,0,2,1),0),0)))</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Register'!$P:$P,0)))+CHOOSE(WEEKDAY(INDEX('iCoA Register'!$F:$F,MATCH(S134,'iCoA Register'!$P:$P,0)),2),0,0,0,0,0,2,1),0),0)))</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Register'!$P:$P,0)))+CHOOSE(WEEKDAY(INDEX('iCoA Register'!$F:$F,MATCH(S135,'iCoA Register'!$P:$P,0)),2),0,0,0,0,0,2,1),0),0)))</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Register'!$P:$P,0)))+CHOOSE(WEEKDAY(INDEX('iCoA Register'!$F:$F,MATCH(S136,'iCoA Register'!$P:$P,0)),2),0,0,0,0,0,2,1),0),0)))</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Register'!$P:$P,0)))+CHOOSE(WEEKDAY(INDEX('iCoA Register'!$F:$F,MATCH(S137,'iCoA Register'!$P:$P,0)),2),0,0,0,0,0,2,1),0),0)))</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Register'!$P:$P,0)))+CHOOSE(WEEKDAY(INDEX('iCoA Register'!$F:$F,MATCH(S138,'iCoA Register'!$P:$P,0)),2),0,0,0,0,0,2,1),0),0)))</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Register'!$P:$P,0)))+CHOOSE(WEEKDAY(INDEX('iCoA Register'!$F:$F,MATCH(S139,'iCoA Register'!$P:$P,0)),2),0,0,0,0,0,2,1),0),0)))</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Register'!$P:$P,0)))+CHOOSE(WEEKDAY(INDEX('iCoA Register'!$F:$F,MATCH(S140,'iCoA Register'!$P:$P,0)),2),0,0,0,0,0,2,1),0),0)))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Register'!$P:$P,0)))+CHOOSE(WEEKDAY(INDEX('iCoA Register'!$F:$F,MATCH(S141,'iCoA Register'!$P:$P,0)),2),0,0,0,0,0,2,1),0),0)))</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Register'!$P:$P,0)))+CHOOSE(WEEKDAY(INDEX('iCoA Register'!$F:$F,MATCH(S142,'iCoA Register'!$P:$P,0)),2),0,0,0,0,0,2,1),0),0)))</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Register'!$P:$P,0)))+CHOOSE(WEEKDAY(INDEX('iCoA Register'!$F:$F,MATCH(S143,'iCoA Register'!$P:$P,0)),2),0,0,0,0,0,2,1),0),0)))</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Register'!$P:$P,0)))+CHOOSE(WEEKDAY(INDEX('iCoA Register'!$F:$F,MATCH(S144,'iCoA Register'!$P:$P,0)),2),0,0,0,0,0,2,1),0),0)))</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Register'!$P:$P,0)))+CHOOSE(WEEKDAY(INDEX('iCoA Register'!$F:$F,MATCH(S145,'iCoA Register'!$P:$P,0)),2),0,0,0,0,0,2,1),0),0)))</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Register'!$P:$P,0)))+CHOOSE(WEEKDAY(INDEX('iCoA Register'!$F:$F,MATCH(S146,'iCoA Register'!$P:$P,0)),2),0,0,0,0,0,2,1),0),0)))</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Register'!$P:$P,0)))+CHOOSE(WEEKDAY(INDEX('iCoA Register'!$F:$F,MATCH(S147,'iCoA Register'!$P:$P,0)),2),0,0,0,0,0,2,1),0),0)))</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Register'!$P:$P,0)))+CHOOSE(WEEKDAY(INDEX('iCoA Register'!$F:$F,MATCH(S148,'iCoA Register'!$P:$P,0)),2),0,0,0,0,0,2,1),0),0)))</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Register'!$P:$P,0)))+CHOOSE(WEEKDAY(INDEX('iCoA Register'!$F:$F,MATCH(S149,'iCoA Register'!$P:$P,0)),2),0,0,0,0,0,2,1),0),0)))</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Register'!$P:$P,0)))+CHOOSE(WEEKDAY(INDEX('iCoA Register'!$F:$F,MATCH(S150,'iCoA Register'!$P:$P,0)),2),0,0,0,0,0,2,1),0),0)))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Register'!$P:$P,0)))+CHOOSE(WEEKDAY(INDEX('iCoA Register'!$F:$F,MATCH(S151,'iCoA Register'!$P:$P,0)),2),0,0,0,0,0,2,1),0),0)))</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Register'!$P:$P,0)))+CHOOSE(WEEKDAY(INDEX('iCoA Register'!$F:$F,MATCH(S152,'iCoA Register'!$P:$P,0)),2),0,0,0,0,0,2,1),0),0)))</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Register'!$P:$P,0)))+CHOOSE(WEEKDAY(INDEX('iCoA Register'!$F:$F,MATCH(S153,'iCoA Register'!$P:$P,0)),2),0,0,0,0,0,2,1),0),0)))</f>
        <v/>
      </c>
      <c r="E153" s="5">
        <f>IF(ISNUMBER(F153),MAX(DATE(2026,5,27),(F153+7)+CHOOSE(WEEKDAY(F153+7,2),0,0,0,0,0,2,1)),"at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Register'!$P:$P,0)))+CHOOSE(WEEKDAY(INDEX('iCoA Register'!$F:$F,MATCH(S154,'iCoA Register'!$P:$P,0)),2),0,0,0,0,0,2,1),0),0)))</f>
        <v/>
      </c>
      <c r="E154" s="5">
        <f>IF(ISNUMBER(F154),MAX(DATE(2026,5,27),(F154+7)+CHOOSE(WEEKDAY(F154+7,2),0,0,0,0,0,2,1)),"at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Register'!$P:$P,0)))+CHOOSE(WEEKDAY(INDEX('iCoA Register'!$F:$F,MATCH(S155,'iCoA Register'!$P:$P,0)),2),0,0,0,0,0,2,1),0),0)))</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Register'!$P:$P,0)))+CHOOSE(WEEKDAY(INDEX('iCoA Register'!$F:$F,MATCH(S156,'iCoA Register'!$P:$P,0)),2),0,0,0,0,0,2,1),0),0)))</f>
        <v/>
      </c>
      <c r="E156" s="5">
        <f>IF(ISNUMBER(F156),MAX(DATE(2026,5,27),(F156+7)+CHOOSE(WEEKDAY(F156+7,2),0,0,0,0,0,2,1)),"at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Register'!$P:$P,0)))+CHOOSE(WEEKDAY(INDEX('iCoA Register'!$F:$F,MATCH(S157,'iCoA Register'!$P:$P,0)),2),0,0,0,0,0,2,1),0),0)))</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Register'!$P:$P,0)))+CHOOSE(WEEKDAY(INDEX('iCoA Register'!$F:$F,MATCH(S158,'iCoA Register'!$P:$P,0)),2),0,0,0,0,0,2,1),0),0)))</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v13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row r="4">
      <c r="A4" s="13" t="inlineStr">
        <is>
          <t>Source: CoQ_Analysis_Master_v13.xlsx,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2026-09-07T14:48:10Z</dcterms:created>
  <dcterms:modified xmlns:dcterms="http://purl.org/dc/terms/" xmlns:xsi="http://www.w3.org/2001/XMLSchema-instance" xsi:type="dcterms:W3CDTF">2026-09-07T14:48:10Z</dcterms:modified>
</cp:coreProperties>
</file>