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OPM112501</t>
        </is>
      </c>
      <c r="J56" s="2" t="inlineStr">
        <is>
          <t>P060222</t>
        </is>
      </c>
      <c r="K56" s="2" t="inlineStr">
        <is>
          <t>Orange Punch Mimosa</t>
        </is>
      </c>
      <c r="L56" s="2" t="inlineStr">
        <is>
          <t>Ident A + Ident B + Foreign matter</t>
        </is>
      </c>
      <c r="M56" s="6" t="inlineStr">
        <is>
          <t>—</t>
        </is>
      </c>
      <c r="N56" s="2">
        <f>IFERROR(INDEX('CoQ Register'!$B:$B,MATCH("P060222|I",'CoQ Register'!$S:$S,0)),"—")</f>
        <v/>
      </c>
      <c r="O56" s="6" t="inlineStr">
        <is>
          <t>—</t>
        </is>
      </c>
      <c r="P56" s="2" t="inlineStr">
        <is>
          <t>P060222|I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PM112501</t>
        </is>
      </c>
      <c r="J57" s="2" t="inlineStr">
        <is>
          <t>P060232</t>
        </is>
      </c>
      <c r="K57" s="2" t="inlineStr">
        <is>
          <t>Permanent Market</t>
        </is>
      </c>
      <c r="L57" s="2" t="inlineStr">
        <is>
          <t>Ident A + Ident B + Foreign matter</t>
        </is>
      </c>
      <c r="M57" s="6" t="inlineStr">
        <is>
          <t>—</t>
        </is>
      </c>
      <c r="N57" s="2">
        <f>IFERROR(INDEX('CoQ Register'!$B:$B,MATCH("P060232|I",'CoQ Register'!$S:$S,0)),"—")</f>
        <v/>
      </c>
      <c r="O57" s="2" t="inlineStr">
        <is>
          <t>iCoA-PP-2026-0016</t>
        </is>
      </c>
      <c r="P57" s="2" t="inlineStr">
        <is>
          <t>P060232|I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OPM122501</t>
        </is>
      </c>
      <c r="J58" s="2" t="inlineStr">
        <is>
          <t>P060242</t>
        </is>
      </c>
      <c r="K58" s="2" t="inlineStr">
        <is>
          <t>Orange Punch Mimosa</t>
        </is>
      </c>
      <c r="L58" s="2" t="inlineStr">
        <is>
          <t>Ident A + Ident B + Foreign matter</t>
        </is>
      </c>
      <c r="M58" s="6" t="inlineStr">
        <is>
          <t>—</t>
        </is>
      </c>
      <c r="N58" s="2">
        <f>IFERROR(INDEX('CoQ Register'!$B:$B,MATCH("P060242|I",'CoQ Register'!$S:$S,0)),"—")</f>
        <v/>
      </c>
      <c r="O58" s="2" t="inlineStr">
        <is>
          <t>iCoA-PP-2026-0017</t>
        </is>
      </c>
      <c r="P58" s="2" t="inlineStr">
        <is>
          <t>P060242|I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GG112501</t>
        </is>
      </c>
      <c r="J59" s="2" t="inlineStr">
        <is>
          <t>P060252</t>
        </is>
      </c>
      <c r="K59" s="2" t="inlineStr">
        <is>
          <t>Gorilla Glue</t>
        </is>
      </c>
      <c r="L59" s="2" t="inlineStr">
        <is>
          <t>Ident A + Ident B + Foreign matter</t>
        </is>
      </c>
      <c r="M59" s="6" t="inlineStr">
        <is>
          <t>—</t>
        </is>
      </c>
      <c r="N59" s="2">
        <f>IFERROR(INDEX('CoQ Register'!$B:$B,MATCH("P060252|I",'CoQ Register'!$S:$S,0)),"—")</f>
        <v/>
      </c>
      <c r="O59" s="6" t="inlineStr">
        <is>
          <t>—</t>
        </is>
      </c>
      <c r="P59" s="2" t="inlineStr">
        <is>
          <t>P060252|I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J31122501</t>
        </is>
      </c>
      <c r="J60" s="2" t="inlineStr">
        <is>
          <t>P060262</t>
        </is>
      </c>
      <c r="K60" s="2" t="inlineStr">
        <is>
          <t>Jokerz 31</t>
        </is>
      </c>
      <c r="L60" s="2" t="inlineStr">
        <is>
          <t>Ident A + Ident B + Foreign matter</t>
        </is>
      </c>
      <c r="M60" s="6" t="inlineStr">
        <is>
          <t>—</t>
        </is>
      </c>
      <c r="N60" s="2">
        <f>IFERROR(INDEX('CoQ Register'!$B:$B,MATCH("P060262|I",'CoQ Register'!$S:$S,0)),"—")</f>
        <v/>
      </c>
      <c r="O60" s="6" t="inlineStr">
        <is>
          <t>—</t>
        </is>
      </c>
      <c r="P60" s="2" t="inlineStr">
        <is>
          <t>P060262|I</t>
        </is>
      </c>
      <c r="Q60" s="7" t="inlineStr">
        <is>
          <t>registered — first working day 5 days after packaging</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CC112501</t>
        </is>
      </c>
      <c r="J61" s="2" t="inlineStr">
        <is>
          <t>P060272</t>
        </is>
      </c>
      <c r="K61" s="2" t="inlineStr">
        <is>
          <t>Cash Cow</t>
        </is>
      </c>
      <c r="L61" s="2" t="inlineStr">
        <is>
          <t>Ident A + Ident B + Foreign matter</t>
        </is>
      </c>
      <c r="M61" s="6" t="inlineStr">
        <is>
          <t>—</t>
        </is>
      </c>
      <c r="N61" s="2">
        <f>IFERROR(INDEX('CoQ Register'!$B:$B,MATCH("P060272|I",'CoQ Register'!$S:$S,0)),"—")</f>
        <v/>
      </c>
      <c r="O61" s="6" t="inlineStr">
        <is>
          <t>—</t>
        </is>
      </c>
      <c r="P61" s="2" t="inlineStr">
        <is>
          <t>P060272|I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SCR112501</t>
        </is>
      </c>
      <c r="J62" s="2" t="inlineStr">
        <is>
          <t>P060282</t>
        </is>
      </c>
      <c r="K62" s="2" t="inlineStr">
        <is>
          <t>Scrambler</t>
        </is>
      </c>
      <c r="L62" s="2" t="inlineStr">
        <is>
          <t>Ident A + Ident B + Foreign matter</t>
        </is>
      </c>
      <c r="M62" s="6" t="inlineStr">
        <is>
          <t>—</t>
        </is>
      </c>
      <c r="N62" s="2">
        <f>IFERROR(INDEX('CoQ Register'!$B:$B,MATCH("P060282|I",'CoQ Register'!$S:$S,0)),"—")</f>
        <v/>
      </c>
      <c r="O62" s="2" t="inlineStr">
        <is>
          <t>iCoA-PP-2026-0018</t>
        </is>
      </c>
      <c r="P62" s="2" t="inlineStr">
        <is>
          <t>P060282|I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FB112501</t>
        </is>
      </c>
      <c r="J63" s="2" t="inlineStr">
        <is>
          <t>P060292</t>
        </is>
      </c>
      <c r="K63" s="2" t="inlineStr">
        <is>
          <t>Fat Bastard</t>
        </is>
      </c>
      <c r="L63" s="2" t="inlineStr">
        <is>
          <t>Ident A + Ident B + Foreign matter</t>
        </is>
      </c>
      <c r="M63" s="6" t="inlineStr">
        <is>
          <t>—</t>
        </is>
      </c>
      <c r="N63" s="2">
        <f>IFERROR(INDEX('CoQ Register'!$B:$B,MATCH("P060292|I",'CoQ Register'!$S:$S,0)),"—")</f>
        <v/>
      </c>
      <c r="O63" s="6" t="inlineStr">
        <is>
          <t>—</t>
        </is>
      </c>
      <c r="P63" s="2" t="inlineStr">
        <is>
          <t>P060292|I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GG012601＊</t>
        </is>
      </c>
      <c r="J64" s="2" t="inlineStr">
        <is>
          <t>P060302</t>
        </is>
      </c>
      <c r="K64" s="2" t="inlineStr">
        <is>
          <t>Gorilla Glue</t>
        </is>
      </c>
      <c r="L64" s="2" t="inlineStr">
        <is>
          <t>Ident A + Ident B + Foreign matter</t>
        </is>
      </c>
      <c r="M64" s="6" t="inlineStr">
        <is>
          <t>—</t>
        </is>
      </c>
      <c r="N64" s="2">
        <f>IFERROR(INDEX('CoQ Register'!$B:$B,MATCH("P060302|I",'CoQ Register'!$S:$S,0)),"—")</f>
        <v/>
      </c>
      <c r="O64" s="6" t="inlineStr">
        <is>
          <t>—</t>
        </is>
      </c>
      <c r="P64" s="2" t="inlineStr">
        <is>
          <t>P060302|I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JD012601＊</t>
        </is>
      </c>
      <c r="J65" s="2" t="inlineStr">
        <is>
          <t>P060312</t>
        </is>
      </c>
      <c r="K65" s="2" t="inlineStr">
        <is>
          <t>Jelly Donutz</t>
        </is>
      </c>
      <c r="L65" s="2" t="inlineStr">
        <is>
          <t>Ident A + Ident B + Foreign matter</t>
        </is>
      </c>
      <c r="M65" s="6" t="inlineStr">
        <is>
          <t>—</t>
        </is>
      </c>
      <c r="N65" s="2">
        <f>IFERROR(INDEX('CoQ Register'!$B:$B,MATCH("P060312|I",'CoQ Register'!$S:$S,0)),"—")</f>
        <v/>
      </c>
      <c r="O65" s="6" t="inlineStr">
        <is>
          <t>—</t>
        </is>
      </c>
      <c r="P65" s="2" t="inlineStr">
        <is>
          <t>P060312|I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CC012601/1</t>
        </is>
      </c>
      <c r="J66" s="2" t="inlineStr">
        <is>
          <t>P060332</t>
        </is>
      </c>
      <c r="K66" s="2" t="inlineStr"/>
      <c r="L66" s="2" t="inlineStr">
        <is>
          <t>Ident A + Ident B + Foreign matter</t>
        </is>
      </c>
      <c r="M66" s="6" t="inlineStr">
        <is>
          <t>—</t>
        </is>
      </c>
      <c r="N66" s="2">
        <f>IFERROR(INDEX('CoQ Register'!$B:$B,MATCH("P060332|I",'CoQ Register'!$S:$S,0)),"—")</f>
        <v/>
      </c>
      <c r="O66" s="6" t="inlineStr">
        <is>
          <t>—</t>
        </is>
      </c>
      <c r="P66" s="2" t="inlineStr">
        <is>
          <t>P060332|I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P060322|I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FB012602*</t>
        </is>
      </c>
      <c r="J68" s="2" t="inlineStr">
        <is>
          <t>P060352</t>
        </is>
      </c>
      <c r="K68" s="2" t="inlineStr">
        <is>
          <t>Fat Bastard</t>
        </is>
      </c>
      <c r="L68" s="2" t="inlineStr">
        <is>
          <t>Ident A + Ident B + Foreign matter</t>
        </is>
      </c>
      <c r="M68" s="6" t="inlineStr">
        <is>
          <t>—</t>
        </is>
      </c>
      <c r="N68" s="2">
        <f>IFERROR(INDEX('CoQ Register'!$B:$B,MATCH("P060352|I",'CoQ Register'!$S:$S,0)),"—")</f>
        <v/>
      </c>
      <c r="O68" s="2" t="inlineStr">
        <is>
          <t>iCoA-PP-2026-0021</t>
        </is>
      </c>
      <c r="P68" s="2" t="inlineStr">
        <is>
          <t>P060352|I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SCR012601*</t>
        </is>
      </c>
      <c r="J69" s="2" t="inlineStr">
        <is>
          <t>P060342</t>
        </is>
      </c>
      <c r="K69" s="2" t="inlineStr">
        <is>
          <t>Scrambler</t>
        </is>
      </c>
      <c r="L69" s="2" t="inlineStr">
        <is>
          <t>Ident A + Ident B + Foreign matter</t>
        </is>
      </c>
      <c r="M69" s="6" t="inlineStr">
        <is>
          <t>—</t>
        </is>
      </c>
      <c r="N69" s="2">
        <f>IFERROR(INDEX('CoQ Register'!$B:$B,MATCH("P060342|I",'CoQ Register'!$S:$S,0)),"—")</f>
        <v/>
      </c>
      <c r="O69" s="6" t="inlineStr">
        <is>
          <t>—</t>
        </is>
      </c>
      <c r="P69" s="2" t="inlineStr">
        <is>
          <t>P060342|I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SCR012603</t>
        </is>
      </c>
      <c r="J70" s="2" t="inlineStr">
        <is>
          <t>P060382</t>
        </is>
      </c>
      <c r="K70" s="2" t="inlineStr">
        <is>
          <t>Scrambler</t>
        </is>
      </c>
      <c r="L70" s="2" t="inlineStr">
        <is>
          <t>Ident A + Ident B + Foreign matter</t>
        </is>
      </c>
      <c r="M70" s="6" t="inlineStr">
        <is>
          <t>—</t>
        </is>
      </c>
      <c r="N70" s="2">
        <f>IFERROR(INDEX('CoQ Register'!$B:$B,MATCH("P060382|I",'CoQ Register'!$S:$S,0)),"—")</f>
        <v/>
      </c>
      <c r="O70" s="2" t="inlineStr">
        <is>
          <t>iCoA-PP-2026-0026</t>
        </is>
      </c>
      <c r="P70" s="2" t="inlineStr">
        <is>
          <t>P060382|I</t>
        </is>
      </c>
      <c r="Q70" s="7" t="inlineStr">
        <is>
          <t>registered — first working day 5 days after packaging</t>
        </is>
      </c>
    </row>
    <row r="71">
      <c r="A71" s="2">
        <f>IF(C71="yes",COUNT(A$1:A70)+1,"")</f>
        <v/>
      </c>
      <c r="B71" s="3">
        <f>IF(A71&lt;&gt;"","iCoA-PP_26-"&amp;TEXT(A71,"000"),IF(C71="n/a","not needed","— at issue —"))</f>
        <v/>
      </c>
      <c r="C71" s="2" t="inlineStr">
        <is>
          <t>n/a</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CoQ_Analysis_Master_v21.xlsx,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2026-09-10T09:57:00Z</dcterms:created>
  <dcterms:modified xsi:type="dcterms:W3CDTF">2026-09-10T09:57:01Z</dcterms:modified>
</cp:coreProperties>
</file>