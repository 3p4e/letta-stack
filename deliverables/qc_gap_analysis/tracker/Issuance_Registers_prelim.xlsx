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187" headerRowCount="1">
  <autoFilter ref="A1:AB187"/>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1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t="n">
        <v>46176</v>
      </c>
      <c r="E58" s="5" t="n">
        <v>46121</v>
      </c>
      <c r="F58" s="5">
        <f>IFERROR(INDEX('Batch Dates'!$G:$G,MATCH(J58,'Batch Dates'!$C:$C,0)),IFERROR(INDEX('Batch Dates'!$G:$G,MATCH(I58,'Batch Dates'!$B:$B,0)),""))</f>
        <v/>
      </c>
      <c r="G58" s="2" t="inlineStr">
        <is>
          <t>legacy</t>
        </is>
      </c>
      <c r="H58" s="2" t="inlineStr">
        <is>
          <t>retest 1</t>
        </is>
      </c>
      <c r="I58" s="3" t="inlineStr">
        <is>
          <t>J31112501</t>
        </is>
      </c>
      <c r="J58" s="2" t="inlineStr">
        <is>
          <t>P060202</t>
        </is>
      </c>
      <c r="K58" s="2" t="inlineStr">
        <is>
          <t>Jokerz 31</t>
        </is>
      </c>
      <c r="L58" s="2" t="inlineStr">
        <is>
          <t>Ident A + Ident B + Foreign matter</t>
        </is>
      </c>
      <c r="M58" s="6" t="inlineStr">
        <is>
          <t>—</t>
        </is>
      </c>
      <c r="N58" s="2">
        <f>IFERROR(INDEX('CoQ Register'!$B:$B,MATCH("P060202|R",'CoQ Register'!$S:$S,0)),"—")</f>
        <v/>
      </c>
      <c r="O58" s="6" t="inlineStr">
        <is>
          <t>—</t>
        </is>
      </c>
      <c r="P58" s="2" t="inlineStr">
        <is>
          <t>09.04.2027</t>
        </is>
      </c>
      <c r="Q58" s="2" t="inlineStr">
        <is>
          <t>26.01.2026</t>
        </is>
      </c>
      <c r="R58" s="2" t="inlineStr">
        <is>
          <t>17.04.2026 (the issuance plan's basis: 09.04.2026)</t>
        </is>
      </c>
      <c r="S58" s="5">
        <f>IFERROR(INDEX('CoQ Register'!$D:$D,MATCH("P060202|R",'CoQ Register'!$S:$S,0)),"")</f>
        <v/>
      </c>
      <c r="T58" s="2" t="inlineStr">
        <is>
          <t>Conforms</t>
        </is>
      </c>
      <c r="U58" s="2" t="inlineStr">
        <is>
          <t>Conforms</t>
        </is>
      </c>
      <c r="V58" s="2" t="inlineStr">
        <is>
          <t>Conforms</t>
        </is>
      </c>
      <c r="W58" s="2" t="inlineStr">
        <is>
          <t>227-14-K-26, (11.09.2026) [FHM-K]</t>
        </is>
      </c>
      <c r="X58" s="2" t="inlineStr">
        <is>
          <t>227-14-K-26, (11.09.2026) [FHM-K]</t>
        </is>
      </c>
      <c r="Y58" s="2" t="inlineStr">
        <is>
          <t>— pending —</t>
        </is>
      </c>
      <c r="Z58" s="2" t="inlineStr">
        <is>
          <t>#8, #9, #11, #12 from the initial testing</t>
        </is>
      </c>
      <c r="AA58" s="2" t="inlineStr">
        <is>
          <t>P060202|R</t>
        </is>
      </c>
      <c r="AB58" s="7" t="inlineStr">
        <is>
          <t>registered — retest 1,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J31112501</t>
        </is>
      </c>
      <c r="J59" s="2" t="inlineStr">
        <is>
          <t>P060202</t>
        </is>
      </c>
      <c r="K59" s="2" t="inlineStr">
        <is>
          <t>Jokerz 31</t>
        </is>
      </c>
      <c r="L59" s="2" t="inlineStr">
        <is>
          <t>Ident A + Ident B + Foreign matter</t>
        </is>
      </c>
      <c r="M59" s="6" t="inlineStr">
        <is>
          <t>—</t>
        </is>
      </c>
      <c r="N59" s="2">
        <f>IFERROR(INDEX('CoQ Register'!$B:$B,MATCH("P060202|I",'CoQ Register'!$S:$S,0)),"—")</f>
        <v/>
      </c>
      <c r="O59" s="6" t="inlineStr">
        <is>
          <t>—</t>
        </is>
      </c>
      <c r="P59" s="2" t="inlineStr">
        <is>
          <t>09.04.2026</t>
        </is>
      </c>
      <c r="Q59" s="2" t="inlineStr">
        <is>
          <t>26.01.2026</t>
        </is>
      </c>
      <c r="R59" s="2" t="inlineStr">
        <is>
          <t>17.04.2026 (the issuance plan's basis: 09.04.2026)</t>
        </is>
      </c>
      <c r="S59" s="5">
        <f>IFERROR(INDEX('CoQ Register'!$D:$D,MATCH("P060202|I",'CoQ Register'!$S:$S,0)),"")</f>
        <v/>
      </c>
      <c r="T59" s="2" t="inlineStr">
        <is>
          <t>Conforms</t>
        </is>
      </c>
      <c r="U59" s="2" t="inlineStr">
        <is>
          <t>Conforms</t>
        </is>
      </c>
      <c r="V59" s="2" t="inlineStr">
        <is>
          <t>Conforms</t>
        </is>
      </c>
      <c r="W59" s="2" t="inlineStr">
        <is>
          <t>051-5-K-26, (04.03.2026) [FHM-K]</t>
        </is>
      </c>
      <c r="X59" s="2" t="inlineStr">
        <is>
          <t>—</t>
        </is>
      </c>
      <c r="Y59" s="2" t="inlineStr">
        <is>
          <t>—</t>
        </is>
      </c>
      <c r="Z59" s="2" t="inlineStr">
        <is>
          <t>—</t>
        </is>
      </c>
      <c r="AA59" s="2" t="inlineStr">
        <is>
          <t>P060202|I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JD112501</t>
        </is>
      </c>
      <c r="J60" s="2" t="inlineStr">
        <is>
          <t>P060212</t>
        </is>
      </c>
      <c r="K60" s="2" t="inlineStr">
        <is>
          <t>Jelly Donutz</t>
        </is>
      </c>
      <c r="L60" s="2" t="inlineStr">
        <is>
          <t>Ident A + Ident B + Foreign matter</t>
        </is>
      </c>
      <c r="M60" s="6" t="inlineStr">
        <is>
          <t>—</t>
        </is>
      </c>
      <c r="N60" s="2">
        <f>IFERROR(INDEX('CoQ Register'!$B:$B,MATCH("P060212|I",'CoQ Register'!$S:$S,0)),"—")</f>
        <v/>
      </c>
      <c r="O60" s="2" t="inlineStr">
        <is>
          <t>iCoA-PP-2026-0015</t>
        </is>
      </c>
      <c r="P60" s="2" t="inlineStr">
        <is>
          <t>21.04.2026</t>
        </is>
      </c>
      <c r="Q60" s="2" t="inlineStr">
        <is>
          <t>25.03.2026</t>
        </is>
      </c>
      <c r="R60" s="2" t="inlineStr">
        <is>
          <t>21.04.2026</t>
        </is>
      </c>
      <c r="S60" s="5">
        <f>IFERROR(INDEX('CoQ Register'!$D:$D,MATCH("P060212|I",'CoQ Register'!$S:$S,0)),"")</f>
        <v/>
      </c>
      <c r="T60" s="2" t="inlineStr">
        <is>
          <t>Conforms</t>
        </is>
      </c>
      <c r="U60" s="2" t="inlineStr">
        <is>
          <t>Conforms</t>
        </is>
      </c>
      <c r="V60" s="2" t="inlineStr">
        <is>
          <t>Conforms</t>
        </is>
      </c>
      <c r="W60" s="2" t="inlineStr">
        <is>
          <t>ППК26063, (11.05.2026) [CNP]</t>
        </is>
      </c>
      <c r="X60" s="2" t="inlineStr">
        <is>
          <t>—</t>
        </is>
      </c>
      <c r="Y60" s="2" t="inlineStr">
        <is>
          <t>—</t>
        </is>
      </c>
      <c r="Z60" s="2" t="inlineStr">
        <is>
          <t>—</t>
        </is>
      </c>
      <c r="AA60" s="2" t="inlineStr">
        <is>
          <t>P060212|I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OPM112501</t>
        </is>
      </c>
      <c r="J61" s="2" t="inlineStr">
        <is>
          <t>P060222</t>
        </is>
      </c>
      <c r="K61" s="2" t="inlineStr">
        <is>
          <t>Orange Punch Mimosa</t>
        </is>
      </c>
      <c r="L61" s="2" t="inlineStr">
        <is>
          <t>Ident A + Ident B + Foreign matter</t>
        </is>
      </c>
      <c r="M61" s="6" t="inlineStr">
        <is>
          <t>—</t>
        </is>
      </c>
      <c r="N61" s="2">
        <f>IFERROR(INDEX('CoQ Register'!$B:$B,MATCH("P060222|I",'CoQ Register'!$S:$S,0)),"—")</f>
        <v/>
      </c>
      <c r="O61" s="6" t="inlineStr">
        <is>
          <t>—</t>
        </is>
      </c>
      <c r="P61" s="2" t="inlineStr">
        <is>
          <t>05.03.2026</t>
        </is>
      </c>
      <c r="Q61" s="2" t="inlineStr">
        <is>
          <t>05.02.2026</t>
        </is>
      </c>
      <c r="R61" s="2" t="inlineStr">
        <is>
          <t>24.04.2026 (the issuance plan's basis: 05.03.2026)</t>
        </is>
      </c>
      <c r="S61" s="5">
        <f>IFERROR(INDEX('CoQ Register'!$D:$D,MATCH("P060222|I",'CoQ Register'!$S:$S,0)),"")</f>
        <v/>
      </c>
      <c r="T61" s="2" t="inlineStr">
        <is>
          <t>Conforms</t>
        </is>
      </c>
      <c r="U61" s="2" t="inlineStr">
        <is>
          <t>Conforms</t>
        </is>
      </c>
      <c r="V61" s="2" t="inlineStr">
        <is>
          <t>Conforms</t>
        </is>
      </c>
      <c r="W61" s="2" t="inlineStr">
        <is>
          <t>ППК26031, (05.03.2026) [CNP]</t>
        </is>
      </c>
      <c r="X61" s="2" t="inlineStr">
        <is>
          <t>—</t>
        </is>
      </c>
      <c r="Y61" s="2" t="inlineStr">
        <is>
          <t>—</t>
        </is>
      </c>
      <c r="Z61" s="2" t="inlineStr">
        <is>
          <t>—</t>
        </is>
      </c>
      <c r="AA61" s="2" t="inlineStr">
        <is>
          <t>P060222|I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PM112501</t>
        </is>
      </c>
      <c r="J62" s="2" t="inlineStr">
        <is>
          <t>P060232</t>
        </is>
      </c>
      <c r="K62" s="2" t="inlineStr">
        <is>
          <t>Permanent Market</t>
        </is>
      </c>
      <c r="L62" s="2" t="inlineStr">
        <is>
          <t>Ident A + Ident B + Foreign matter</t>
        </is>
      </c>
      <c r="M62" s="6" t="inlineStr">
        <is>
          <t>—</t>
        </is>
      </c>
      <c r="N62" s="2">
        <f>IFERROR(INDEX('CoQ Register'!$B:$B,MATCH("P060232|I",'CoQ Register'!$S:$S,0)),"—")</f>
        <v/>
      </c>
      <c r="O62" s="2" t="inlineStr">
        <is>
          <t>iCoA-PP-2026-0016</t>
        </is>
      </c>
      <c r="P62" s="2" t="inlineStr">
        <is>
          <t>27.04.2026</t>
        </is>
      </c>
      <c r="Q62" s="2" t="inlineStr">
        <is>
          <t>05.02.2026</t>
        </is>
      </c>
      <c r="R62" s="2" t="inlineStr">
        <is>
          <t>27.04.2026</t>
        </is>
      </c>
      <c r="S62" s="5">
        <f>IFERROR(INDEX('CoQ Register'!$D:$D,MATCH("P060232|I",'CoQ Register'!$S:$S,0)),"")</f>
        <v/>
      </c>
      <c r="T62" s="2" t="inlineStr">
        <is>
          <t>Conforms</t>
        </is>
      </c>
      <c r="U62" s="2" t="inlineStr">
        <is>
          <t>Conforms</t>
        </is>
      </c>
      <c r="V62" s="2" t="inlineStr">
        <is>
          <t>Conforms</t>
        </is>
      </c>
      <c r="W62" s="2" t="inlineStr">
        <is>
          <t>ППК26030, (05.03.2026) [CNP]</t>
        </is>
      </c>
      <c r="X62" s="2" t="inlineStr">
        <is>
          <t>—</t>
        </is>
      </c>
      <c r="Y62" s="2" t="inlineStr">
        <is>
          <t>—</t>
        </is>
      </c>
      <c r="Z62" s="2" t="inlineStr">
        <is>
          <t>—</t>
        </is>
      </c>
      <c r="AA62" s="2" t="inlineStr">
        <is>
          <t>P060232|I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OPM122501</t>
        </is>
      </c>
      <c r="J63" s="2" t="inlineStr">
        <is>
          <t>P060242</t>
        </is>
      </c>
      <c r="K63" s="2" t="inlineStr">
        <is>
          <t>Orange Punch Mimosa</t>
        </is>
      </c>
      <c r="L63" s="2" t="inlineStr">
        <is>
          <t>Ident A + Ident B + Foreign matter</t>
        </is>
      </c>
      <c r="M63" s="6" t="inlineStr">
        <is>
          <t>—</t>
        </is>
      </c>
      <c r="N63" s="2">
        <f>IFERROR(INDEX('CoQ Register'!$B:$B,MATCH("P060242|I",'CoQ Register'!$S:$S,0)),"—")</f>
        <v/>
      </c>
      <c r="O63" s="2" t="inlineStr">
        <is>
          <t>iCoA-PP-2026-0017</t>
        </is>
      </c>
      <c r="P63" s="2" t="inlineStr">
        <is>
          <t>28.04.2026</t>
        </is>
      </c>
      <c r="Q63" s="2" t="inlineStr">
        <is>
          <t>11.03.2026</t>
        </is>
      </c>
      <c r="R63" s="2" t="inlineStr">
        <is>
          <t>28.04.2026</t>
        </is>
      </c>
      <c r="S63" s="5">
        <f>IFERROR(INDEX('CoQ Register'!$D:$D,MATCH("P060242|I",'CoQ Register'!$S:$S,0)),"")</f>
        <v/>
      </c>
      <c r="T63" s="2" t="inlineStr">
        <is>
          <t>Conforms</t>
        </is>
      </c>
      <c r="U63" s="2" t="inlineStr">
        <is>
          <t>Conforms</t>
        </is>
      </c>
      <c r="V63" s="2" t="inlineStr">
        <is>
          <t>Conforms</t>
        </is>
      </c>
      <c r="W63" s="2" t="inlineStr">
        <is>
          <t>100-4-K-26, (09.04.2026) [FHM-K]</t>
        </is>
      </c>
      <c r="X63" s="2" t="inlineStr">
        <is>
          <t>—</t>
        </is>
      </c>
      <c r="Y63" s="2" t="inlineStr">
        <is>
          <t>—</t>
        </is>
      </c>
      <c r="Z63" s="2" t="inlineStr">
        <is>
          <t>—</t>
        </is>
      </c>
      <c r="AA63" s="2" t="inlineStr">
        <is>
          <t>P060242|I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GG112501</t>
        </is>
      </c>
      <c r="J64" s="2" t="inlineStr">
        <is>
          <t>P060252</t>
        </is>
      </c>
      <c r="K64" s="2" t="inlineStr">
        <is>
          <t>Gorilla Glue</t>
        </is>
      </c>
      <c r="L64" s="2" t="inlineStr">
        <is>
          <t>Ident A + Ident B + Foreign matter</t>
        </is>
      </c>
      <c r="M64" s="6" t="inlineStr">
        <is>
          <t>—</t>
        </is>
      </c>
      <c r="N64" s="2">
        <f>IFERROR(INDEX('CoQ Register'!$B:$B,MATCH("P060252|I",'CoQ Register'!$S:$S,0)),"—")</f>
        <v/>
      </c>
      <c r="O64" s="6" t="inlineStr">
        <is>
          <t>—</t>
        </is>
      </c>
      <c r="P64" s="2" t="inlineStr">
        <is>
          <t>11.05.2026</t>
        </is>
      </c>
      <c r="Q64" s="2" t="inlineStr">
        <is>
          <t>25.03.2026</t>
        </is>
      </c>
      <c r="R64" s="2" t="inlineStr">
        <is>
          <t>05.05.2026 (the issuance plan's basis: 11.05.2026)</t>
        </is>
      </c>
      <c r="S64" s="5">
        <f>IFERROR(INDEX('CoQ Register'!$D:$D,MATCH("P060252|I",'CoQ Register'!$S:$S,0)),"")</f>
        <v/>
      </c>
      <c r="T64" s="2" t="inlineStr">
        <is>
          <t>Conforms</t>
        </is>
      </c>
      <c r="U64" s="2" t="inlineStr">
        <is>
          <t>Conforms</t>
        </is>
      </c>
      <c r="V64" s="2" t="inlineStr">
        <is>
          <t>Conforms</t>
        </is>
      </c>
      <c r="W64" s="2" t="inlineStr">
        <is>
          <t>ППК26061, (11.05.2026) [CNP]</t>
        </is>
      </c>
      <c r="X64" s="2" t="inlineStr">
        <is>
          <t>—</t>
        </is>
      </c>
      <c r="Y64" s="2" t="inlineStr">
        <is>
          <t>—</t>
        </is>
      </c>
      <c r="Z64" s="2" t="inlineStr">
        <is>
          <t>—</t>
        </is>
      </c>
      <c r="AA64" s="2" t="inlineStr">
        <is>
          <t>P060252|I</t>
        </is>
      </c>
      <c r="AB64" s="7" t="inlineStr">
        <is>
          <t>registered — initial release,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1</t>
        </is>
      </c>
      <c r="I65" s="3" t="inlineStr">
        <is>
          <t>GP062501</t>
        </is>
      </c>
      <c r="J65" s="2" t="inlineStr">
        <is>
          <t>P050202</t>
        </is>
      </c>
      <c r="K65" s="2" t="inlineStr">
        <is>
          <t>Grape Pie</t>
        </is>
      </c>
      <c r="L65" s="2" t="inlineStr">
        <is>
          <t>Ident A + Ident B + Foreign matter</t>
        </is>
      </c>
      <c r="M65" s="6" t="inlineStr">
        <is>
          <t>—</t>
        </is>
      </c>
      <c r="N65" s="2">
        <f>IFERROR(INDEX('CoQ Register'!$B:$B,MATCH("P050202|R",'CoQ Register'!$S:$S,0)),"—")</f>
        <v/>
      </c>
      <c r="O65" s="6" t="inlineStr">
        <is>
          <t>—</t>
        </is>
      </c>
      <c r="P65" s="2" t="inlineStr">
        <is>
          <t>11.05.2027</t>
        </is>
      </c>
      <c r="Q65" s="2" t="inlineStr">
        <is>
          <t>15.09.2025 – 17.09.2025</t>
        </is>
      </c>
      <c r="R65" s="2" t="inlineStr">
        <is>
          <t>30.10.2025 – 07.11.2025 (the issuance plan's basis: 11.05.2026)</t>
        </is>
      </c>
      <c r="S65" s="5">
        <f>IFERROR(INDEX('CoQ Register'!$D:$D,MATCH("P050202|R",'CoQ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t>
        </is>
      </c>
      <c r="AB65" s="7" t="inlineStr">
        <is>
          <t>registered — retest 1,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2</t>
        </is>
      </c>
      <c r="I66" s="3" t="inlineStr">
        <is>
          <t>GP062501</t>
        </is>
      </c>
      <c r="J66" s="2" t="inlineStr">
        <is>
          <t>P050202</t>
        </is>
      </c>
      <c r="K66" s="2" t="inlineStr">
        <is>
          <t>Grape Pie</t>
        </is>
      </c>
      <c r="L66" s="2" t="inlineStr">
        <is>
          <t>Ident A + Ident B + Foreign matter</t>
        </is>
      </c>
      <c r="M66" s="6" t="inlineStr">
        <is>
          <t>—</t>
        </is>
      </c>
      <c r="N66" s="2">
        <f>IFERROR(INDEX('CoQ Register'!$B:$B,MATCH("P050202|R2",'CoQ Register'!$S:$S,0)),"—")</f>
        <v/>
      </c>
      <c r="O66" s="6" t="inlineStr">
        <is>
          <t>—</t>
        </is>
      </c>
      <c r="P66" s="2" t="inlineStr">
        <is>
          <t>11.05.2027</t>
        </is>
      </c>
      <c r="Q66" s="2" t="inlineStr">
        <is>
          <t>15.09.2025 – 17.09.2025</t>
        </is>
      </c>
      <c r="R66" s="2" t="inlineStr">
        <is>
          <t>30.10.2025 – 07.11.2025 (the issuance plan's basis: 11.05.2026)</t>
        </is>
      </c>
      <c r="S66" s="5">
        <f>IFERROR(INDEX('CoQ Register'!$D:$D,MATCH("P050202|R2",'CoQ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P050202|R2</t>
        </is>
      </c>
      <c r="AB66" s="7" t="inlineStr">
        <is>
          <t>registered — retest 2,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FB012601_1</t>
        </is>
      </c>
      <c r="J77" s="2" t="inlineStr">
        <is>
          <t>P060322</t>
        </is>
      </c>
      <c r="K77" s="2" t="inlineStr">
        <is>
          <t>Fat Bastard</t>
        </is>
      </c>
      <c r="L77" s="2" t="inlineStr">
        <is>
          <t>Ident A + Ident B + Foreign matter</t>
        </is>
      </c>
      <c r="M77" s="6" t="inlineStr">
        <is>
          <t>—</t>
        </is>
      </c>
      <c r="N77" s="2">
        <f>IFERROR(INDEX('CoQ Register'!$B:$B,MATCH("P060322|I",'CoQ Register'!$S:$S,0)),"—")</f>
        <v/>
      </c>
      <c r="O77" s="2" t="inlineStr">
        <is>
          <t>iCoA-PP-2026-0019</t>
        </is>
      </c>
      <c r="P77" s="2" t="inlineStr">
        <is>
          <t>22.05.2026</t>
        </is>
      </c>
      <c r="Q77" s="2" t="inlineStr">
        <is>
          <t>27.03.2026</t>
        </is>
      </c>
      <c r="R77" s="2" t="inlineStr">
        <is>
          <t>22.05.2026</t>
        </is>
      </c>
      <c r="S77" s="5">
        <f>IFERROR(INDEX('CoQ Register'!$D:$D,MATCH("P060322|I",'CoQ Register'!$S:$S,0)),"")</f>
        <v/>
      </c>
      <c r="T77" s="2" t="inlineStr">
        <is>
          <t>Conforms</t>
        </is>
      </c>
      <c r="U77" s="2" t="inlineStr">
        <is>
          <t>Conforms</t>
        </is>
      </c>
      <c r="V77" s="2" t="inlineStr">
        <is>
          <t>Conforms</t>
        </is>
      </c>
      <c r="W77" s="2" t="inlineStr">
        <is>
          <t>ППК26067, (11.05.2026) [CNP]</t>
        </is>
      </c>
      <c r="X77" s="2" t="inlineStr">
        <is>
          <t>—</t>
        </is>
      </c>
      <c r="Y77" s="2" t="inlineStr">
        <is>
          <t>—</t>
        </is>
      </c>
      <c r="Z77" s="2" t="inlineStr">
        <is>
          <t>—</t>
        </is>
      </c>
      <c r="AA77" s="2" t="inlineStr">
        <is>
          <t>P060322|I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CC012601/1</t>
        </is>
      </c>
      <c r="J78" s="2" t="inlineStr">
        <is>
          <t>P060332</t>
        </is>
      </c>
      <c r="K78" s="2" t="inlineStr">
        <is>
          <t>Cash Cow</t>
        </is>
      </c>
      <c r="L78" s="2" t="inlineStr">
        <is>
          <t>Ident A + Ident B + Foreign matter</t>
        </is>
      </c>
      <c r="M78" s="6" t="inlineStr">
        <is>
          <t>—</t>
        </is>
      </c>
      <c r="N78" s="2">
        <f>IFERROR(INDEX('CoQ Register'!$B:$B,MATCH("P060332|I",'CoQ Register'!$S:$S,0)),"—")</f>
        <v/>
      </c>
      <c r="O78" s="6" t="inlineStr">
        <is>
          <t>—</t>
        </is>
      </c>
      <c r="P78" s="2" t="inlineStr">
        <is>
          <t>10.08.2026</t>
        </is>
      </c>
      <c r="Q78" s="2" t="inlineStr">
        <is>
          <t>16.04.2026</t>
        </is>
      </c>
      <c r="R78" s="2" t="inlineStr">
        <is>
          <t>22.05.2026 (the issuance plan's basis: 10.08.2026)</t>
        </is>
      </c>
      <c r="S78" s="5">
        <f>IFERROR(INDEX('CoQ Register'!$D:$D,MATCH("P060332|I",'CoQ Register'!$S:$S,0)),"")</f>
        <v/>
      </c>
      <c r="T78" s="2" t="inlineStr">
        <is>
          <t>Conforms</t>
        </is>
      </c>
      <c r="U78" s="2" t="inlineStr">
        <is>
          <t>Conforms</t>
        </is>
      </c>
      <c r="V78" s="2" t="inlineStr">
        <is>
          <t>Conforms</t>
        </is>
      </c>
      <c r="W78" s="2" t="inlineStr">
        <is>
          <t>— no cannabinoid certificate from the initial testing —</t>
        </is>
      </c>
      <c r="X78" s="2" t="inlineStr">
        <is>
          <t>—</t>
        </is>
      </c>
      <c r="Y78" s="2" t="inlineStr">
        <is>
          <t>—</t>
        </is>
      </c>
      <c r="Z78" s="2" t="inlineStr">
        <is>
          <t>—</t>
        </is>
      </c>
      <c r="AA78" s="2" t="inlineStr">
        <is>
          <t>P060332|I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FB012603V</t>
        </is>
      </c>
      <c r="J79" s="2" t="inlineStr">
        <is>
          <t>P060392</t>
        </is>
      </c>
      <c r="K79" s="2" t="inlineStr">
        <is>
          <t>Fat Bastard</t>
        </is>
      </c>
      <c r="L79" s="2" t="inlineStr">
        <is>
          <t>Ident A + Ident B + Foreign matter</t>
        </is>
      </c>
      <c r="M79" s="2" t="inlineStr">
        <is>
          <t>A: ППК26110 / B: ППК26110 / FM: ППК26110</t>
        </is>
      </c>
      <c r="N79" s="2">
        <f>IFERROR(INDEX('CoQ Register'!$B:$B,MATCH("P060392|I",'CoQ Register'!$S:$S,0)),"—")</f>
        <v/>
      </c>
      <c r="O79" s="6" t="inlineStr">
        <is>
          <t>—</t>
        </is>
      </c>
      <c r="P79" s="2" t="inlineStr">
        <is>
          <t>30.06.2026</t>
        </is>
      </c>
      <c r="Q79" s="2" t="inlineStr">
        <is>
          <t>29.04.2026</t>
        </is>
      </c>
      <c r="R79" s="2" t="inlineStr">
        <is>
          <t>23.05.2026 (the issuance plan's basis: 30.06.2026)</t>
        </is>
      </c>
      <c r="S79" s="5">
        <f>IFERROR(INDEX('CoQ Register'!$D:$D,MATCH("P060392|I",'CoQ Register'!$S:$S,0)),"")</f>
        <v/>
      </c>
      <c r="T79" s="2" t="inlineStr">
        <is>
          <t>CNP ППК26110</t>
        </is>
      </c>
      <c r="U79" s="2" t="inlineStr">
        <is>
          <t>CNP ППК26110</t>
        </is>
      </c>
      <c r="V79" s="2" t="inlineStr">
        <is>
          <t>CNP ППК26110</t>
        </is>
      </c>
      <c r="W79" s="2" t="inlineStr">
        <is>
          <t>ППК26110, (30.06.2026) [CNP]</t>
        </is>
      </c>
      <c r="X79" s="2" t="inlineStr">
        <is>
          <t>—</t>
        </is>
      </c>
      <c r="Y79" s="2" t="inlineStr">
        <is>
          <t>—</t>
        </is>
      </c>
      <c r="Z79" s="2" t="inlineStr">
        <is>
          <t>—</t>
        </is>
      </c>
      <c r="AA79" s="2" t="inlineStr">
        <is>
          <t>P060392|I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JD012603</t>
        </is>
      </c>
      <c r="J80" s="2" t="inlineStr">
        <is>
          <t>P060422</t>
        </is>
      </c>
      <c r="K80" s="2" t="inlineStr">
        <is>
          <t>Jelly Donutz</t>
        </is>
      </c>
      <c r="L80" s="2" t="inlineStr">
        <is>
          <t>Ident A + Ident B + Foreign matter</t>
        </is>
      </c>
      <c r="M80" s="2" t="inlineStr">
        <is>
          <t>A: ППК26111 / B: ППК26111 / FM: ППК26111</t>
        </is>
      </c>
      <c r="N80" s="2">
        <f>IFERROR(INDEX('CoQ Register'!$B:$B,MATCH("P060422|I",'CoQ Register'!$S:$S,0)),"—")</f>
        <v/>
      </c>
      <c r="O80" s="2" t="inlineStr">
        <is>
          <t>iCoA-PP-2026-0022</t>
        </is>
      </c>
      <c r="P80" s="2" t="inlineStr">
        <is>
          <t>23.05.2026</t>
        </is>
      </c>
      <c r="Q80" s="2" t="inlineStr">
        <is>
          <t>29.04.2026</t>
        </is>
      </c>
      <c r="R80" s="2" t="inlineStr">
        <is>
          <t>23.05.2026</t>
        </is>
      </c>
      <c r="S80" s="5">
        <f>IFERROR(INDEX('CoQ Register'!$D:$D,MATCH("P060422|I",'CoQ Register'!$S:$S,0)),"")</f>
        <v/>
      </c>
      <c r="T80" s="2" t="inlineStr">
        <is>
          <t>CNP ППК26111</t>
        </is>
      </c>
      <c r="U80" s="2" t="inlineStr">
        <is>
          <t>CNP ППК26111</t>
        </is>
      </c>
      <c r="V80" s="2" t="inlineStr">
        <is>
          <t>CNP ППК26111</t>
        </is>
      </c>
      <c r="W80" s="2" t="inlineStr">
        <is>
          <t>ППК26111, (30.06.2026) [CNP]</t>
        </is>
      </c>
      <c r="X80" s="2" t="inlineStr">
        <is>
          <t>—</t>
        </is>
      </c>
      <c r="Y80" s="2" t="inlineStr">
        <is>
          <t>—</t>
        </is>
      </c>
      <c r="Z80" s="2" t="inlineStr">
        <is>
          <t>—</t>
        </is>
      </c>
      <c r="AA80" s="2" t="inlineStr">
        <is>
          <t>P060422|I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JD012603</t>
        </is>
      </c>
      <c r="J81" s="2" t="inlineStr">
        <is>
          <t>P060362</t>
        </is>
      </c>
      <c r="K81" s="2" t="inlineStr">
        <is>
          <t>Jelly Donutz</t>
        </is>
      </c>
      <c r="L81" s="2" t="inlineStr">
        <is>
          <t>Ident A + Ident B + Foreign matter</t>
        </is>
      </c>
      <c r="M81" s="2" t="inlineStr">
        <is>
          <t>A: ППК26111 / B: ППК26111 / FM: ППК26111</t>
        </is>
      </c>
      <c r="N81" s="2">
        <f>IFERROR(INDEX('CoQ Register'!$B:$B,MATCH("P060362|I",'CoQ Register'!$S:$S,0)),"—")</f>
        <v/>
      </c>
      <c r="O81" s="2" t="inlineStr">
        <is>
          <t>iCoA-PP-2026-0020</t>
        </is>
      </c>
      <c r="P81" s="2" t="inlineStr">
        <is>
          <t>23.05.2026</t>
        </is>
      </c>
      <c r="Q81" s="2" t="inlineStr">
        <is>
          <t>22.04.2026</t>
        </is>
      </c>
      <c r="R81" s="2" t="inlineStr">
        <is>
          <t>23.05.2026</t>
        </is>
      </c>
      <c r="S81" s="5">
        <f>IFERROR(INDEX('CoQ Register'!$D:$D,MATCH("P060362|I",'CoQ Register'!$S:$S,0)),"")</f>
        <v/>
      </c>
      <c r="T81" s="2" t="inlineStr">
        <is>
          <t>CNP ППК26111</t>
        </is>
      </c>
      <c r="U81" s="2" t="inlineStr">
        <is>
          <t>CNP ППК26111</t>
        </is>
      </c>
      <c r="V81" s="2" t="inlineStr">
        <is>
          <t>CNP ППК26111</t>
        </is>
      </c>
      <c r="W81" s="2" t="inlineStr">
        <is>
          <t>— no cannabinoid certificate from the initial testing —</t>
        </is>
      </c>
      <c r="X81" s="2" t="inlineStr">
        <is>
          <t>—</t>
        </is>
      </c>
      <c r="Y81" s="2" t="inlineStr">
        <is>
          <t>—</t>
        </is>
      </c>
      <c r="Z81" s="2" t="inlineStr">
        <is>
          <t>—</t>
        </is>
      </c>
      <c r="AA81" s="2" t="inlineStr">
        <is>
          <t>P060362|I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FB012602*</t>
        </is>
      </c>
      <c r="J82" s="2" t="inlineStr">
        <is>
          <t>P060352</t>
        </is>
      </c>
      <c r="K82" s="2" t="inlineStr">
        <is>
          <t>Fat Bastard</t>
        </is>
      </c>
      <c r="L82" s="2" t="inlineStr">
        <is>
          <t>Ident A + Ident B + Foreign matter</t>
        </is>
      </c>
      <c r="M82" s="6" t="inlineStr">
        <is>
          <t>—</t>
        </is>
      </c>
      <c r="N82" s="2">
        <f>IFERROR(INDEX('CoQ Register'!$B:$B,MATCH("P060352|I",'CoQ Register'!$S:$S,0)),"—")</f>
        <v/>
      </c>
      <c r="O82" s="2" t="inlineStr">
        <is>
          <t>iCoA-PP-2026-0021</t>
        </is>
      </c>
      <c r="P82" s="2" t="inlineStr">
        <is>
          <t>23.05.2026</t>
        </is>
      </c>
      <c r="Q82" s="2" t="inlineStr">
        <is>
          <t>16.04.2026</t>
        </is>
      </c>
      <c r="R82" s="2" t="inlineStr">
        <is>
          <t>23.05.2026</t>
        </is>
      </c>
      <c r="S82" s="5">
        <f>IFERROR(INDEX('CoQ Register'!$D:$D,MATCH("P060352|I",'CoQ Register'!$S:$S,0)),"")</f>
        <v/>
      </c>
      <c r="T82" s="2" t="inlineStr">
        <is>
          <t>Conforms</t>
        </is>
      </c>
      <c r="U82" s="2" t="inlineStr">
        <is>
          <t>Conforms</t>
        </is>
      </c>
      <c r="V82" s="2" t="inlineStr">
        <is>
          <t>Conforms</t>
        </is>
      </c>
      <c r="W82" s="2" t="inlineStr">
        <is>
          <t>— no cannabinoid certificate from the initial testing —</t>
        </is>
      </c>
      <c r="X82" s="2" t="inlineStr">
        <is>
          <t>—</t>
        </is>
      </c>
      <c r="Y82" s="2" t="inlineStr">
        <is>
          <t>—</t>
        </is>
      </c>
      <c r="Z82" s="2" t="inlineStr">
        <is>
          <t>—</t>
        </is>
      </c>
      <c r="AA82" s="2" t="inlineStr">
        <is>
          <t>P060352|I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CC012603</t>
        </is>
      </c>
      <c r="J83" s="2" t="inlineStr">
        <is>
          <t>P060372</t>
        </is>
      </c>
      <c r="K83" s="2" t="inlineStr">
        <is>
          <t>Cash Cow</t>
        </is>
      </c>
      <c r="L83" s="2" t="inlineStr">
        <is>
          <t>Ident A + Ident B + Foreign matter</t>
        </is>
      </c>
      <c r="M83" s="6" t="inlineStr">
        <is>
          <t>—</t>
        </is>
      </c>
      <c r="N83" s="2">
        <f>IFERROR(INDEX('CoQ Register'!$B:$B,MATCH("P060372|I",'CoQ Register'!$S:$S,0)),"—")</f>
        <v/>
      </c>
      <c r="O83" s="2" t="inlineStr">
        <is>
          <t>iCoA-PP-2026-0024</t>
        </is>
      </c>
      <c r="P83" s="2" t="inlineStr">
        <is>
          <t>24.05.2026</t>
        </is>
      </c>
      <c r="Q83" s="2" t="inlineStr">
        <is>
          <t>22.04.2026</t>
        </is>
      </c>
      <c r="R83" s="2" t="inlineStr">
        <is>
          <t>24.05.2026</t>
        </is>
      </c>
      <c r="S83" s="5">
        <f>IFERROR(INDEX('CoQ Register'!$D:$D,MATCH("P060372|I",'CoQ Register'!$S:$S,0)),"")</f>
        <v/>
      </c>
      <c r="T83" s="2" t="inlineStr">
        <is>
          <t>Conforms</t>
        </is>
      </c>
      <c r="U83" s="2" t="inlineStr">
        <is>
          <t>Conforms</t>
        </is>
      </c>
      <c r="V83" s="2" t="inlineStr">
        <is>
          <t>Conforms</t>
        </is>
      </c>
      <c r="W83" s="2" t="inlineStr">
        <is>
          <t>— no cannabinoid certificate from the initial testing —</t>
        </is>
      </c>
      <c r="X83" s="2" t="inlineStr">
        <is>
          <t>—</t>
        </is>
      </c>
      <c r="Y83" s="2" t="inlineStr">
        <is>
          <t>—</t>
        </is>
      </c>
      <c r="Z83" s="2" t="inlineStr">
        <is>
          <t>—</t>
        </is>
      </c>
      <c r="AA83" s="2" t="inlineStr">
        <is>
          <t>P060372|I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GG012603</t>
        </is>
      </c>
      <c r="J84" s="2" t="inlineStr">
        <is>
          <t>P060402</t>
        </is>
      </c>
      <c r="K84" s="2" t="inlineStr">
        <is>
          <t>Gorilla Glue</t>
        </is>
      </c>
      <c r="L84" s="2" t="inlineStr">
        <is>
          <t>Ident A + Ident B + Foreign matter</t>
        </is>
      </c>
      <c r="M84" s="2" t="inlineStr">
        <is>
          <t>A: ППК26114 / B: ППК26114 / FM: ППК26114</t>
        </is>
      </c>
      <c r="N84" s="2">
        <f>IFERROR(INDEX('CoQ Register'!$B:$B,MATCH("P060402|I",'CoQ Register'!$S:$S,0)),"—")</f>
        <v/>
      </c>
      <c r="O84" s="2" t="inlineStr">
        <is>
          <t>iCoA-PP-2026-0023</t>
        </is>
      </c>
      <c r="P84" s="2" t="inlineStr">
        <is>
          <t>24.05.2026</t>
        </is>
      </c>
      <c r="Q84" s="2" t="inlineStr">
        <is>
          <t>04.05.2026</t>
        </is>
      </c>
      <c r="R84" s="2" t="inlineStr">
        <is>
          <t>24.05.2026</t>
        </is>
      </c>
      <c r="S84" s="5">
        <f>IFERROR(INDEX('CoQ Register'!$D:$D,MATCH("P060402|I",'CoQ Register'!$S:$S,0)),"")</f>
        <v/>
      </c>
      <c r="T84" s="2" t="inlineStr">
        <is>
          <t>CNP ППК26114</t>
        </is>
      </c>
      <c r="U84" s="2" t="inlineStr">
        <is>
          <t>CNP ППК26114</t>
        </is>
      </c>
      <c r="V84" s="2" t="inlineStr">
        <is>
          <t>CNP ППК26114</t>
        </is>
      </c>
      <c r="W84" s="2" t="inlineStr">
        <is>
          <t>ППК26114, (30.06.2026) [CNP]</t>
        </is>
      </c>
      <c r="X84" s="2" t="inlineStr">
        <is>
          <t>—</t>
        </is>
      </c>
      <c r="Y84" s="2" t="inlineStr">
        <is>
          <t>—</t>
        </is>
      </c>
      <c r="Z84" s="2" t="inlineStr">
        <is>
          <t>—</t>
        </is>
      </c>
      <c r="AA84" s="2" t="inlineStr">
        <is>
          <t>P060402|I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JD012603</t>
        </is>
      </c>
      <c r="J85" s="2" t="inlineStr">
        <is>
          <t>P060412</t>
        </is>
      </c>
      <c r="K85" s="2" t="inlineStr">
        <is>
          <t>Jelly Donutz</t>
        </is>
      </c>
      <c r="L85" s="2" t="inlineStr">
        <is>
          <t>Ident A + Ident B + Foreign matter</t>
        </is>
      </c>
      <c r="M85" s="2" t="inlineStr">
        <is>
          <t>A: ППК26111 / B: ППК26111 / FM: ППК26111</t>
        </is>
      </c>
      <c r="N85" s="2">
        <f>IFERROR(INDEX('CoQ Register'!$B:$B,MATCH("P060412|I",'CoQ Register'!$S:$S,0)),"—")</f>
        <v/>
      </c>
      <c r="O85" s="2" t="inlineStr">
        <is>
          <t>iCoA-PP-2026-0025</t>
        </is>
      </c>
      <c r="P85" s="2" t="inlineStr">
        <is>
          <t>24.05.2026</t>
        </is>
      </c>
      <c r="Q85" s="2" t="inlineStr">
        <is>
          <t>04.05.2026</t>
        </is>
      </c>
      <c r="R85" s="2" t="inlineStr">
        <is>
          <t>24.05.2026</t>
        </is>
      </c>
      <c r="S85" s="5">
        <f>IFERROR(INDEX('CoQ Register'!$D:$D,MATCH("P060412|I",'CoQ Register'!$S:$S,0)),"")</f>
        <v/>
      </c>
      <c r="T85" s="2" t="inlineStr">
        <is>
          <t>CNP ППК26111</t>
        </is>
      </c>
      <c r="U85" s="2" t="inlineStr">
        <is>
          <t>CNP ППК26111</t>
        </is>
      </c>
      <c r="V85" s="2" t="inlineStr">
        <is>
          <t>CNP ППК26111</t>
        </is>
      </c>
      <c r="W85" s="2" t="inlineStr">
        <is>
          <t>ППК26113, (30.06.2026) [CNP]</t>
        </is>
      </c>
      <c r="X85" s="2" t="inlineStr">
        <is>
          <t>—</t>
        </is>
      </c>
      <c r="Y85" s="2" t="inlineStr">
        <is>
          <t>—</t>
        </is>
      </c>
      <c r="Z85" s="2" t="inlineStr">
        <is>
          <t>—</t>
        </is>
      </c>
      <c r="AA85" s="2" t="inlineStr">
        <is>
          <t>P060412|I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SCR012603</t>
        </is>
      </c>
      <c r="J86" s="2" t="inlineStr">
        <is>
          <t>P060382</t>
        </is>
      </c>
      <c r="K86" s="2" t="inlineStr">
        <is>
          <t>Scrambler</t>
        </is>
      </c>
      <c r="L86" s="2" t="inlineStr">
        <is>
          <t>Ident A + Ident B + Foreign matter</t>
        </is>
      </c>
      <c r="M86" s="6" t="inlineStr">
        <is>
          <t>—</t>
        </is>
      </c>
      <c r="N86" s="2">
        <f>IFERROR(INDEX('CoQ Register'!$B:$B,MATCH("P060382|I",'CoQ Register'!$S:$S,0)),"—")</f>
        <v/>
      </c>
      <c r="O86" s="2" t="inlineStr">
        <is>
          <t>iCoA-PP-2026-0026</t>
        </is>
      </c>
      <c r="P86" s="2" t="inlineStr">
        <is>
          <t>25.05.2026</t>
        </is>
      </c>
      <c r="Q86" s="2" t="inlineStr">
        <is>
          <t>22.04.2026</t>
        </is>
      </c>
      <c r="R86" s="2" t="inlineStr">
        <is>
          <t>25.05.2026</t>
        </is>
      </c>
      <c r="S86" s="5">
        <f>IFERROR(INDEX('CoQ Register'!$D:$D,MATCH("P060382|I",'CoQ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P060382|I</t>
        </is>
      </c>
      <c r="AB86" s="7" t="inlineStr">
        <is>
          <t>registered — initial release, issued 03.06.2026</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legacy</t>
        </is>
      </c>
      <c r="H87" s="2" t="inlineStr">
        <is>
          <t>initial release</t>
        </is>
      </c>
      <c r="I87" s="3" t="inlineStr">
        <is>
          <t>BSS1024_01/1</t>
        </is>
      </c>
      <c r="J87" s="2" t="inlineStr">
        <is>
          <t>P050122</t>
        </is>
      </c>
      <c r="K87" s="2" t="inlineStr">
        <is>
          <t>Blue Sunset Sherbet</t>
        </is>
      </c>
      <c r="L87" s="2" t="inlineStr">
        <is>
          <t>Ident A + Ident B + Foreign matter</t>
        </is>
      </c>
      <c r="M87" s="6" t="inlineStr">
        <is>
          <t>—</t>
        </is>
      </c>
      <c r="N87" s="2">
        <f>IFERROR(INDEX('CoQ Register'!$B:$B,MATCH("P050122|I",'CoQ Register'!$S:$S,0)),"—")</f>
        <v/>
      </c>
      <c r="O87" s="6" t="inlineStr">
        <is>
          <t>—</t>
        </is>
      </c>
      <c r="P87" s="2" t="inlineStr">
        <is>
          <t>10.07.2025</t>
        </is>
      </c>
      <c r="Q87" s="2" t="inlineStr">
        <is>
          <t>04.06.2025 – 05.06.2025</t>
        </is>
      </c>
      <c r="R87" s="2" t="inlineStr">
        <is>
          <t>01.09.2025 – 09.09.2025 (the issuance plan's basis: 10.07.2025)</t>
        </is>
      </c>
      <c r="S87" s="5">
        <f>IFERROR(INDEX('CoQ Register'!$D:$D,MATCH("P050122|I",'CoQ Register'!$S:$S,0)),"")</f>
        <v/>
      </c>
      <c r="T87" s="2" t="inlineStr">
        <is>
          <t>Conforms</t>
        </is>
      </c>
      <c r="U87" s="2" t="inlineStr">
        <is>
          <t>Conforms</t>
        </is>
      </c>
      <c r="V87" s="2" t="inlineStr">
        <is>
          <t>Conforms</t>
        </is>
      </c>
      <c r="W87" s="2" t="inlineStr">
        <is>
          <t>ППК25176, (10.07.2025) [CNP]</t>
        </is>
      </c>
      <c r="X87" s="2" t="inlineStr">
        <is>
          <t>—</t>
        </is>
      </c>
      <c r="Y87" s="2" t="inlineStr">
        <is>
          <t>—</t>
        </is>
      </c>
      <c r="Z87" s="2" t="inlineStr">
        <is>
          <t>—</t>
        </is>
      </c>
      <c r="AA87" s="2" t="inlineStr">
        <is>
          <t>P050122|I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t>
        </is>
      </c>
      <c r="H88" s="2" t="inlineStr">
        <is>
          <t>initial release</t>
        </is>
      </c>
      <c r="I88" s="3" t="inlineStr">
        <is>
          <t>CC042601</t>
        </is>
      </c>
      <c r="J88" s="2" t="inlineStr">
        <is>
          <t>N/A — no P batch assigned</t>
        </is>
      </c>
      <c r="K88" s="2" t="inlineStr">
        <is>
          <t>Cash Cow</t>
        </is>
      </c>
      <c r="L88" s="2" t="inlineStr">
        <is>
          <t>Ident A + Ident B + Foreign matter</t>
        </is>
      </c>
      <c r="M88" s="6" t="inlineStr">
        <is>
          <t>—</t>
        </is>
      </c>
      <c r="N88" s="2">
        <f>IFERROR(INDEX('CoQ Register'!$B:$B,MATCH("CC042601|I",'CoQ Register'!$S:$S,0)),"—")</f>
        <v/>
      </c>
      <c r="O88" s="6" t="inlineStr">
        <is>
          <t>—</t>
        </is>
      </c>
      <c r="P88" s="2" t="inlineStr">
        <is>
          <t>—</t>
        </is>
      </c>
      <c r="Q88" s="2" t="inlineStr">
        <is>
          <t>— not on the list —</t>
        </is>
      </c>
      <c r="R88" s="2" t="inlineStr">
        <is>
          <t>— not on the list —</t>
        </is>
      </c>
      <c r="S88" s="5">
        <f>IFERROR(INDEX('CoQ Register'!$D:$D,MATCH("CC042601|I",'CoQ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CC042601|I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t>
        </is>
      </c>
      <c r="H89" s="2" t="inlineStr">
        <is>
          <t>initial release</t>
        </is>
      </c>
      <c r="I89" s="3" t="inlineStr">
        <is>
          <t>FB042601</t>
        </is>
      </c>
      <c r="J89" s="2" t="inlineStr">
        <is>
          <t>N/A — no P batch assigned</t>
        </is>
      </c>
      <c r="K89" s="2" t="inlineStr">
        <is>
          <t>Fat Bastard</t>
        </is>
      </c>
      <c r="L89" s="2" t="inlineStr">
        <is>
          <t>Ident A + Ident B + Foreign matter</t>
        </is>
      </c>
      <c r="M89" s="6" t="inlineStr">
        <is>
          <t>—</t>
        </is>
      </c>
      <c r="N89" s="2">
        <f>IFERROR(INDEX('CoQ Register'!$B:$B,MATCH("FB042601|I",'CoQ Register'!$S:$S,0)),"—")</f>
        <v/>
      </c>
      <c r="O89" s="6" t="inlineStr">
        <is>
          <t>—</t>
        </is>
      </c>
      <c r="P89" s="2" t="inlineStr">
        <is>
          <t>—</t>
        </is>
      </c>
      <c r="Q89" s="2" t="inlineStr">
        <is>
          <t>— not on the list —</t>
        </is>
      </c>
      <c r="R89" s="2" t="inlineStr">
        <is>
          <t>— not on the list —</t>
        </is>
      </c>
      <c r="S89" s="5">
        <f>IFERROR(INDEX('CoQ Register'!$D:$D,MATCH("FB042601|I",'CoQ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FB042601|I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post-SOP</t>
        </is>
      </c>
      <c r="H90" s="2" t="inlineStr">
        <is>
          <t>initial release</t>
        </is>
      </c>
      <c r="I90" s="3" t="inlineStr">
        <is>
          <t>GG012601＊</t>
        </is>
      </c>
      <c r="J90" s="2" t="inlineStr">
        <is>
          <t>P060302</t>
        </is>
      </c>
      <c r="K90" s="2" t="inlineStr">
        <is>
          <t>Gorilla Glue</t>
        </is>
      </c>
      <c r="L90" s="2" t="inlineStr">
        <is>
          <t>Ident A + Ident B + Foreign matter</t>
        </is>
      </c>
      <c r="M90" s="6" t="inlineStr">
        <is>
          <t>—</t>
        </is>
      </c>
      <c r="N90" s="2">
        <f>IFERROR(INDEX('CoQ Register'!$B:$B,MATCH("P060302|I",'CoQ Register'!$S:$S,0)),"—")</f>
        <v/>
      </c>
      <c r="O90" s="6" t="inlineStr">
        <is>
          <t>—</t>
        </is>
      </c>
      <c r="P90" s="2" t="inlineStr">
        <is>
          <t>11.05.2026</t>
        </is>
      </c>
      <c r="Q90" s="2" t="inlineStr">
        <is>
          <t>27.03.2026</t>
        </is>
      </c>
      <c r="R90" s="2" t="inlineStr">
        <is>
          <t>20.05.2026 (the issuance plan's basis: 11.05.2026)</t>
        </is>
      </c>
      <c r="S90" s="5">
        <f>IFERROR(INDEX('CoQ Register'!$D:$D,MATCH("P060302|I",'CoQ Register'!$S:$S,0)),"")</f>
        <v/>
      </c>
      <c r="T90" s="2" t="inlineStr">
        <is>
          <t>Conforms</t>
        </is>
      </c>
      <c r="U90" s="2" t="inlineStr">
        <is>
          <t>Conforms</t>
        </is>
      </c>
      <c r="V90" s="2" t="inlineStr">
        <is>
          <t>Conforms</t>
        </is>
      </c>
      <c r="W90" s="2" t="inlineStr">
        <is>
          <t>ППК26062, (11.05.2026) [CNP]</t>
        </is>
      </c>
      <c r="X90" s="2" t="inlineStr">
        <is>
          <t>—</t>
        </is>
      </c>
      <c r="Y90" s="2" t="inlineStr">
        <is>
          <t>—</t>
        </is>
      </c>
      <c r="Z90" s="2" t="inlineStr">
        <is>
          <t>—</t>
        </is>
      </c>
      <c r="AA90" s="2" t="inlineStr">
        <is>
          <t>P060302|I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JD012601＊</t>
        </is>
      </c>
      <c r="J91" s="2" t="inlineStr">
        <is>
          <t>P060312</t>
        </is>
      </c>
      <c r="K91" s="2" t="inlineStr">
        <is>
          <t>Jelly Donutz</t>
        </is>
      </c>
      <c r="L91" s="2" t="inlineStr">
        <is>
          <t>Ident A + Ident B + Foreign matter</t>
        </is>
      </c>
      <c r="M91" s="6" t="inlineStr">
        <is>
          <t>—</t>
        </is>
      </c>
      <c r="N91" s="2">
        <f>IFERROR(INDEX('CoQ Register'!$B:$B,MATCH("P060312|I",'CoQ Register'!$S:$S,0)),"—")</f>
        <v/>
      </c>
      <c r="O91" s="6" t="inlineStr">
        <is>
          <t>—</t>
        </is>
      </c>
      <c r="P91" s="2" t="inlineStr">
        <is>
          <t>11.05.2026</t>
        </is>
      </c>
      <c r="Q91" s="2" t="inlineStr">
        <is>
          <t>27.03.2026</t>
        </is>
      </c>
      <c r="R91" s="2" t="inlineStr">
        <is>
          <t>21.05.2026 (the issuance plan's basis: 11.05.2026)</t>
        </is>
      </c>
      <c r="S91" s="5">
        <f>IFERROR(INDEX('CoQ Register'!$D:$D,MATCH("P060312|I",'CoQ Register'!$S:$S,0)),"")</f>
        <v/>
      </c>
      <c r="T91" s="2" t="inlineStr">
        <is>
          <t>Conforms</t>
        </is>
      </c>
      <c r="U91" s="2" t="inlineStr">
        <is>
          <t>Conforms</t>
        </is>
      </c>
      <c r="V91" s="2" t="inlineStr">
        <is>
          <t>Conforms</t>
        </is>
      </c>
      <c r="W91" s="2" t="inlineStr">
        <is>
          <t>ППК26064, (11.05.2026) [CNP]</t>
        </is>
      </c>
      <c r="X91" s="2" t="inlineStr">
        <is>
          <t>—</t>
        </is>
      </c>
      <c r="Y91" s="2" t="inlineStr">
        <is>
          <t>—</t>
        </is>
      </c>
      <c r="Z91" s="2" t="inlineStr">
        <is>
          <t>—</t>
        </is>
      </c>
      <c r="AA91" s="2" t="inlineStr">
        <is>
          <t>P060312|I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legacy</t>
        </is>
      </c>
      <c r="H92" s="2" t="inlineStr">
        <is>
          <t>initial release</t>
        </is>
      </c>
      <c r="I92" s="3" t="inlineStr">
        <is>
          <t>OMP1024_01</t>
        </is>
      </c>
      <c r="J92" s="2" t="inlineStr">
        <is>
          <t>P050042</t>
        </is>
      </c>
      <c r="K92" s="2" t="inlineStr">
        <is>
          <t>Orange Punch Mimosa</t>
        </is>
      </c>
      <c r="L92" s="2" t="inlineStr">
        <is>
          <t>Ident A + Ident B + Foreign matter</t>
        </is>
      </c>
      <c r="M92" s="6" t="inlineStr">
        <is>
          <t>—</t>
        </is>
      </c>
      <c r="N92" s="2">
        <f>IFERROR(INDEX('CoQ Register'!$B:$B,MATCH("P050042|I",'CoQ Register'!$S:$S,0)),"—")</f>
        <v/>
      </c>
      <c r="O92" s="2" t="inlineStr">
        <is>
          <t>iCoA-PP-2025-0007</t>
        </is>
      </c>
      <c r="P92" s="2" t="inlineStr">
        <is>
          <t>20.06.2025</t>
        </is>
      </c>
      <c r="Q92" s="2" t="inlineStr">
        <is>
          <t>26.03.2025 – 27.03.2025</t>
        </is>
      </c>
      <c r="R92" s="2" t="inlineStr">
        <is>
          <t>20.06.2025</t>
        </is>
      </c>
      <c r="S92" s="5">
        <f>IFERROR(INDEX('CoQ Register'!$D:$D,MATCH("P050042|I",'CoQ Register'!$S:$S,0)),"")</f>
        <v/>
      </c>
      <c r="T92" s="2" t="inlineStr">
        <is>
          <t>Conforms</t>
        </is>
      </c>
      <c r="U92" s="2" t="inlineStr">
        <is>
          <t>Conforms</t>
        </is>
      </c>
      <c r="V92" s="2" t="inlineStr">
        <is>
          <t>Conforms</t>
        </is>
      </c>
      <c r="W92" s="2" t="inlineStr">
        <is>
          <t>ППК25117, (06.05.2025) [CNP]</t>
        </is>
      </c>
      <c r="X92" s="2" t="inlineStr">
        <is>
          <t>—</t>
        </is>
      </c>
      <c r="Y92" s="2" t="inlineStr">
        <is>
          <t>—</t>
        </is>
      </c>
      <c r="Z92" s="2" t="inlineStr">
        <is>
          <t>—</t>
        </is>
      </c>
      <c r="AA92" s="2" t="inlineStr">
        <is>
          <t>P050042|I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post-SOP</t>
        </is>
      </c>
      <c r="H93" s="2" t="inlineStr">
        <is>
          <t>initial release</t>
        </is>
      </c>
      <c r="I93" s="3" t="inlineStr">
        <is>
          <t>SCR012601*</t>
        </is>
      </c>
      <c r="J93" s="2" t="inlineStr">
        <is>
          <t>P060342</t>
        </is>
      </c>
      <c r="K93" s="2" t="inlineStr">
        <is>
          <t>Scrambler</t>
        </is>
      </c>
      <c r="L93" s="2" t="inlineStr">
        <is>
          <t>Ident A + Ident B + Foreign matter</t>
        </is>
      </c>
      <c r="M93" s="6" t="inlineStr">
        <is>
          <t>—</t>
        </is>
      </c>
      <c r="N93" s="2">
        <f>IFERROR(INDEX('CoQ Register'!$B:$B,MATCH("P060342|I",'CoQ Register'!$S:$S,0)),"—")</f>
        <v/>
      </c>
      <c r="O93" s="6" t="inlineStr">
        <is>
          <t>—</t>
        </is>
      </c>
      <c r="P93" s="2" t="inlineStr">
        <is>
          <t>—</t>
        </is>
      </c>
      <c r="Q93" s="2" t="inlineStr">
        <is>
          <t>16.04.2026</t>
        </is>
      </c>
      <c r="R93" s="2" t="inlineStr">
        <is>
          <t>25.05.2026 (the issuance plan's basis: —)</t>
        </is>
      </c>
      <c r="S93" s="5">
        <f>IFERROR(INDEX('CoQ Register'!$D:$D,MATCH("P060342|I",'CoQ Register'!$S:$S,0)),"")</f>
        <v/>
      </c>
      <c r="T93" s="2" t="inlineStr">
        <is>
          <t>Conforms</t>
        </is>
      </c>
      <c r="U93" s="2" t="inlineStr">
        <is>
          <t>Conforms</t>
        </is>
      </c>
      <c r="V93" s="2" t="inlineStr">
        <is>
          <t>Conforms</t>
        </is>
      </c>
      <c r="W93" s="2" t="inlineStr">
        <is>
          <t>— no cannabinoid certificate from the initial testing —</t>
        </is>
      </c>
      <c r="X93" s="2" t="inlineStr">
        <is>
          <t>—</t>
        </is>
      </c>
      <c r="Y93" s="2" t="inlineStr">
        <is>
          <t>—</t>
        </is>
      </c>
      <c r="Z93" s="2" t="inlineStr">
        <is>
          <t>—</t>
        </is>
      </c>
      <c r="AA93" s="2" t="inlineStr">
        <is>
          <t>P060342|I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1</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Donutz</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Market</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Donutz</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Donutz</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Register'!$B:$B,MATCH("P050222|R",'CoQ Register'!$S:$S,0)),"—")</f>
        <v/>
      </c>
      <c r="O127" s="6" t="inlineStr">
        <is>
          <t>—</t>
        </is>
      </c>
      <c r="P127" s="2" t="inlineStr">
        <is>
          <t>24.11.2026</t>
        </is>
      </c>
      <c r="Q127" s="2" t="inlineStr">
        <is>
          <t>23.09.2025</t>
        </is>
      </c>
      <c r="R127" s="2" t="inlineStr">
        <is>
          <t>24.11.2025 – 25.11.2025</t>
        </is>
      </c>
      <c r="S127" s="5">
        <f>IFERROR(INDEX('CoQ Register'!$D:$D,MATCH("P050222|R",'CoQ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1</t>
        </is>
      </c>
      <c r="I137" s="3" t="inlineStr">
        <is>
          <t>GRC102501</t>
        </is>
      </c>
      <c r="J137" s="2" t="inlineStr">
        <is>
          <t>P060182</t>
        </is>
      </c>
      <c r="K137" s="2" t="inlineStr">
        <is>
          <t>Graps &amp; Creme</t>
        </is>
      </c>
      <c r="L137" s="2" t="inlineStr">
        <is>
          <t>Ident A + Ident B + Foreign matter</t>
        </is>
      </c>
      <c r="M137" s="6" t="inlineStr">
        <is>
          <t>—</t>
        </is>
      </c>
      <c r="N137" s="2">
        <f>IFERROR(INDEX('CoQ Register'!$B:$B,MATCH("P060182|R",'CoQ Register'!$S:$S,0)),"—")</f>
        <v/>
      </c>
      <c r="O137" s="6" t="inlineStr">
        <is>
          <t>—</t>
        </is>
      </c>
      <c r="P137" s="2" t="inlineStr">
        <is>
          <t>14.03.2027</t>
        </is>
      </c>
      <c r="Q137" s="2" t="inlineStr">
        <is>
          <t>20.01.2026</t>
        </is>
      </c>
      <c r="R137" s="2" t="inlineStr">
        <is>
          <t>14.03.2026</t>
        </is>
      </c>
      <c r="S137" s="5">
        <f>IFERROR(INDEX('CoQ Register'!$D:$D,MATCH("P060182|R",'CoQ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Donutz</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Donutz</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Donutz</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1</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Register'!$B:$B,MATCH("P050042|R",'CoQ Register'!$S:$S,0)),"—")</f>
        <v/>
      </c>
      <c r="O145" s="6" t="inlineStr">
        <is>
          <t>—</t>
        </is>
      </c>
      <c r="P145" s="2" t="inlineStr">
        <is>
          <t>20.06.2026</t>
        </is>
      </c>
      <c r="Q145" s="2" t="inlineStr">
        <is>
          <t>26.03.2025 – 27.03.2025</t>
        </is>
      </c>
      <c r="R145" s="2" t="inlineStr">
        <is>
          <t>20.06.2025</t>
        </is>
      </c>
      <c r="S145" s="5">
        <f>IFERROR(INDEX('CoQ Register'!$D:$D,MATCH("P050042|R",'CoQ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t>
        </is>
      </c>
      <c r="AB145" s="7" t="inlineStr">
        <is>
          <t>registered — retest 1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Donutz</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Market</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Joy</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Crasher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1</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Register'!$B:$B,MATCH("P050142|R",'CoQ Register'!$S:$S,0)),"—")</f>
        <v/>
      </c>
      <c r="O156" s="6" t="inlineStr">
        <is>
          <t>—</t>
        </is>
      </c>
      <c r="P156" s="2" t="inlineStr">
        <is>
          <t>30.09.2026</t>
        </is>
      </c>
      <c r="Q156" s="2" t="inlineStr">
        <is>
          <t>— not given —</t>
        </is>
      </c>
      <c r="R156" s="2" t="inlineStr">
        <is>
          <t>30.09.2025</t>
        </is>
      </c>
      <c r="S156" s="5">
        <f>IFERROR(INDEX('CoQ Register'!$D:$D,MATCH("P050142|R",'CoQ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t>
        </is>
      </c>
      <c r="AB156" s="7" t="inlineStr">
        <is>
          <t>registered — retest 1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1</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t>
        </is>
      </c>
      <c r="AB157" s="7" t="inlineStr">
        <is>
          <t>registered — retest 1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1</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Register'!$B:$B,MATCH("P060222|R",'CoQ Register'!$S:$S,0)),"—")</f>
        <v/>
      </c>
      <c r="O158" s="6" t="inlineStr">
        <is>
          <t>—</t>
        </is>
      </c>
      <c r="P158" s="2" t="inlineStr">
        <is>
          <t>05.03.2027</t>
        </is>
      </c>
      <c r="Q158" s="2" t="inlineStr">
        <is>
          <t>05.02.2026</t>
        </is>
      </c>
      <c r="R158" s="2" t="inlineStr">
        <is>
          <t>24.04.2026 (the issuance plan's basis: 05.03.2026)</t>
        </is>
      </c>
      <c r="S158" s="5">
        <f>IFERROR(INDEX('CoQ Register'!$D:$D,MATCH("P060222|R",'CoQ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t>
        </is>
      </c>
      <c r="AB158" s="7" t="inlineStr">
        <is>
          <t>registered — retest 1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1</t>
        </is>
      </c>
      <c r="I159" s="3" t="inlineStr">
        <is>
          <t>PM072501</t>
        </is>
      </c>
      <c r="J159" s="2" t="inlineStr">
        <is>
          <t>P050272</t>
        </is>
      </c>
      <c r="K159" s="2" t="inlineStr">
        <is>
          <t>Permanent Market</t>
        </is>
      </c>
      <c r="L159" s="2" t="inlineStr">
        <is>
          <t>Ident A + Ident B + Foreign matter</t>
        </is>
      </c>
      <c r="M159" s="6" t="inlineStr">
        <is>
          <t>—</t>
        </is>
      </c>
      <c r="N159" s="2">
        <f>IFERROR(INDEX('CoQ Register'!$B:$B,MATCH("P050272|R",'CoQ Register'!$S:$S,0)),"—")</f>
        <v/>
      </c>
      <c r="O159" s="6" t="inlineStr">
        <is>
          <t>—</t>
        </is>
      </c>
      <c r="P159" s="2" t="inlineStr">
        <is>
          <t>21.01.2027</t>
        </is>
      </c>
      <c r="Q159" s="2" t="inlineStr">
        <is>
          <t>27.10.2025</t>
        </is>
      </c>
      <c r="R159" s="2" t="inlineStr">
        <is>
          <t>02.12.2025 – 03.12.2025 (the issuance plan's basis: 21.01.2026)</t>
        </is>
      </c>
      <c r="S159" s="5">
        <f>IFERROR(INDEX('CoQ Register'!$D:$D,MATCH("P050272|R",'CoQ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t>
        </is>
      </c>
      <c r="AB159" s="7" t="inlineStr">
        <is>
          <t>registered — retest 1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1</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Register'!$B:$B,MATCH("P060342|R",'CoQ Register'!$S:$S,0)),"—")</f>
        <v/>
      </c>
      <c r="O160" s="6" t="inlineStr">
        <is>
          <t>—</t>
        </is>
      </c>
      <c r="P160" s="2" t="inlineStr">
        <is>
          <t>—</t>
        </is>
      </c>
      <c r="Q160" s="2" t="inlineStr">
        <is>
          <t>16.04.2026</t>
        </is>
      </c>
      <c r="R160" s="2" t="inlineStr">
        <is>
          <t>25.05.2026 (the issuance plan's basis: —)</t>
        </is>
      </c>
      <c r="S160" s="5">
        <f>IFERROR(INDEX('CoQ Register'!$D:$D,MATCH("P060342|R",'CoQ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t>
        </is>
      </c>
      <c r="AB160" s="7" t="inlineStr">
        <is>
          <t>registered — retest 1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1</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Register'!$B:$B,MATCH("P060442|R",'CoQ Register'!$S:$S,0)),"—")</f>
        <v/>
      </c>
      <c r="O161" s="6" t="inlineStr">
        <is>
          <t>—</t>
        </is>
      </c>
      <c r="P161" s="2" t="inlineStr">
        <is>
          <t>06.07.2027</t>
        </is>
      </c>
      <c r="Q161" s="2" t="inlineStr">
        <is>
          <t>13.05.2026</t>
        </is>
      </c>
      <c r="R161" s="2" t="inlineStr">
        <is>
          <t>18.06.2026 (the issuance plan's basis: 06.07.2026)</t>
        </is>
      </c>
      <c r="S161" s="5">
        <f>IFERROR(INDEX('CoQ Register'!$D:$D,MATCH("P060442|R",'CoQ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1</t>
        </is>
      </c>
      <c r="I162" s="3" t="inlineStr">
        <is>
          <t>SJ102501</t>
        </is>
      </c>
      <c r="J162" s="2" t="inlineStr">
        <is>
          <t>P060162</t>
        </is>
      </c>
      <c r="K162" s="2" t="inlineStr">
        <is>
          <t>Sleepy Joy</t>
        </is>
      </c>
      <c r="L162" s="2" t="inlineStr">
        <is>
          <t>Ident A + Ident B + Foreign matter</t>
        </is>
      </c>
      <c r="M162" s="6" t="inlineStr">
        <is>
          <t>—</t>
        </is>
      </c>
      <c r="N162" s="2">
        <f>IFERROR(INDEX('CoQ Register'!$B:$B,MATCH("P060162|R",'CoQ Register'!$S:$S,0)),"—")</f>
        <v/>
      </c>
      <c r="O162" s="6" t="inlineStr">
        <is>
          <t>—</t>
        </is>
      </c>
      <c r="P162" s="2" t="inlineStr">
        <is>
          <t>04.03.2027</t>
        </is>
      </c>
      <c r="Q162" s="2" t="inlineStr">
        <is>
          <t>20.01.2026</t>
        </is>
      </c>
      <c r="R162" s="2" t="inlineStr">
        <is>
          <t>09.03.2026 (the issuance plan's basis: 04.03.2026)</t>
        </is>
      </c>
      <c r="S162" s="5">
        <f>IFERROR(INDEX('CoQ Register'!$D:$D,MATCH("P060162|R",'CoQ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t>
        </is>
      </c>
      <c r="AB162" s="7" t="inlineStr">
        <is>
          <t>registered — retest 1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Joy</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1</t>
        </is>
      </c>
      <c r="I164" s="3" t="inlineStr">
        <is>
          <t>WC072501</t>
        </is>
      </c>
      <c r="J164" s="2" t="inlineStr">
        <is>
          <t>P050262</t>
        </is>
      </c>
      <c r="K164" s="2" t="inlineStr">
        <is>
          <t>Wedding Crasher</t>
        </is>
      </c>
      <c r="L164" s="2" t="inlineStr">
        <is>
          <t>Ident A + Ident B + Foreign matter</t>
        </is>
      </c>
      <c r="M164" s="6" t="inlineStr">
        <is>
          <t>—</t>
        </is>
      </c>
      <c r="N164" s="2">
        <f>IFERROR(INDEX('CoQ Register'!$B:$B,MATCH("P050262|R",'CoQ Register'!$S:$S,0)),"—")</f>
        <v/>
      </c>
      <c r="O164" s="6" t="inlineStr">
        <is>
          <t>—</t>
        </is>
      </c>
      <c r="P164" s="2" t="inlineStr">
        <is>
          <t>02.12.2026</t>
        </is>
      </c>
      <c r="Q164" s="2" t="inlineStr">
        <is>
          <t>27.10.2025 – 28.10.2025</t>
        </is>
      </c>
      <c r="R164" s="2" t="inlineStr">
        <is>
          <t>01.12.2025 (the issuance plan's basis: 02.12.2025)</t>
        </is>
      </c>
      <c r="S164" s="5">
        <f>IFERROR(INDEX('CoQ Register'!$D:$D,MATCH("P050262|R",'CoQ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t>
        </is>
      </c>
      <c r="AB164" s="7" t="inlineStr">
        <is>
          <t>registered — retest 1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1</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Register'!$B:$B,MATCH("P060102|R",'CoQ Register'!$S:$S,0)),"—")</f>
        <v/>
      </c>
      <c r="O165" s="6" t="inlineStr">
        <is>
          <t>—</t>
        </is>
      </c>
      <c r="P165" s="2" t="inlineStr">
        <is>
          <t>16.02.2027</t>
        </is>
      </c>
      <c r="Q165" s="2" t="inlineStr">
        <is>
          <t>08.01.2026</t>
        </is>
      </c>
      <c r="R165" s="2" t="inlineStr">
        <is>
          <t>16.02.2026</t>
        </is>
      </c>
      <c r="S165" s="5">
        <f>IFERROR(INDEX('CoQ Register'!$D:$D,MATCH("P060102|R",'CoQ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t>
        </is>
      </c>
      <c r="AB165" s="7" t="inlineStr">
        <is>
          <t>registered — retest 1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1</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t>
        </is>
      </c>
      <c r="AB166" s="7" t="inlineStr">
        <is>
          <t>registered — retest 1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1</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Register'!$B:$B,MATCH("P060252|R",'CoQ Register'!$S:$S,0)),"—")</f>
        <v/>
      </c>
      <c r="O167" s="6" t="inlineStr">
        <is>
          <t>—</t>
        </is>
      </c>
      <c r="P167" s="2" t="inlineStr">
        <is>
          <t>11.05.2027</t>
        </is>
      </c>
      <c r="Q167" s="2" t="inlineStr">
        <is>
          <t>25.03.2026</t>
        </is>
      </c>
      <c r="R167" s="2" t="inlineStr">
        <is>
          <t>05.05.2026 (the issuance plan's basis: 11.05.2026)</t>
        </is>
      </c>
      <c r="S167" s="5">
        <f>IFERROR(INDEX('CoQ Register'!$D:$D,MATCH("P060252|R",'CoQ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t>
        </is>
      </c>
      <c r="AB167" s="7" t="inlineStr">
        <is>
          <t>registered — retest 1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1</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t>
        </is>
      </c>
      <c r="AB169" s="7" t="inlineStr">
        <is>
          <t>registered — retest 1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1</t>
        </is>
      </c>
      <c r="I170" s="3" t="inlineStr">
        <is>
          <t>GRC102501</t>
        </is>
      </c>
      <c r="J170" s="2" t="inlineStr">
        <is>
          <t>P060142</t>
        </is>
      </c>
      <c r="K170" s="2" t="inlineStr">
        <is>
          <t>Graps &amp; Creme</t>
        </is>
      </c>
      <c r="L170" s="2" t="inlineStr">
        <is>
          <t>Ident A + Ident B + Foreign matter</t>
        </is>
      </c>
      <c r="M170" s="6" t="inlineStr">
        <is>
          <t>—</t>
        </is>
      </c>
      <c r="N170" s="2">
        <f>IFERROR(INDEX('CoQ Register'!$B:$B,MATCH("P060142|R",'CoQ Register'!$S:$S,0)),"—")</f>
        <v/>
      </c>
      <c r="O170" s="6" t="inlineStr">
        <is>
          <t>—</t>
        </is>
      </c>
      <c r="P170" s="2" t="inlineStr">
        <is>
          <t>23.02.2027</t>
        </is>
      </c>
      <c r="Q170" s="2" t="inlineStr">
        <is>
          <t>09.01.2026</t>
        </is>
      </c>
      <c r="R170" s="2" t="inlineStr">
        <is>
          <t>23.02.2026</t>
        </is>
      </c>
      <c r="S170" s="5">
        <f>IFERROR(INDEX('CoQ Register'!$D:$D,MATCH("P060142|R",'CoQ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t>
        </is>
      </c>
      <c r="AB170" s="7" t="inlineStr">
        <is>
          <t>registered — retest 1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1</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Register'!$B:$B,MATCH("P060262|R",'CoQ Register'!$S:$S,0)),"—")</f>
        <v/>
      </c>
      <c r="O172" s="6" t="inlineStr">
        <is>
          <t>—</t>
        </is>
      </c>
      <c r="P172" s="2" t="inlineStr">
        <is>
          <t>23.04.2027</t>
        </is>
      </c>
      <c r="Q172" s="2" t="inlineStr">
        <is>
          <t>04.03.2026</t>
        </is>
      </c>
      <c r="R172" s="2" t="inlineStr">
        <is>
          <t>14.05.2026 (the issuance plan's basis: 23.04.2026)</t>
        </is>
      </c>
      <c r="S172" s="5">
        <f>IFERROR(INDEX('CoQ Register'!$D:$D,MATCH("P060262|R",'CoQ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t>
        </is>
      </c>
      <c r="AB172" s="7" t="inlineStr">
        <is>
          <t>registered — retest 1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1</t>
        </is>
      </c>
      <c r="I173" s="3" t="inlineStr">
        <is>
          <t>JD012601＊</t>
        </is>
      </c>
      <c r="J173" s="2" t="inlineStr">
        <is>
          <t>P060312</t>
        </is>
      </c>
      <c r="K173" s="2" t="inlineStr">
        <is>
          <t>Jelly Donutz</t>
        </is>
      </c>
      <c r="L173" s="2" t="inlineStr">
        <is>
          <t>Ident A + Ident B + Foreign matter</t>
        </is>
      </c>
      <c r="M173" s="6" t="inlineStr">
        <is>
          <t>—</t>
        </is>
      </c>
      <c r="N173" s="2">
        <f>IFERROR(INDEX('CoQ Register'!$B:$B,MATCH("P060312|R",'CoQ Register'!$S:$S,0)),"—")</f>
        <v/>
      </c>
      <c r="O173" s="6" t="inlineStr">
        <is>
          <t>—</t>
        </is>
      </c>
      <c r="P173" s="2" t="inlineStr">
        <is>
          <t>11.05.2027</t>
        </is>
      </c>
      <c r="Q173" s="2" t="inlineStr">
        <is>
          <t>27.03.2026</t>
        </is>
      </c>
      <c r="R173" s="2" t="inlineStr">
        <is>
          <t>21.05.2026 (the issuance plan's basis: 11.05.2026)</t>
        </is>
      </c>
      <c r="S173" s="5">
        <f>IFERROR(INDEX('CoQ Register'!$D:$D,MATCH("P060312|R",'CoQ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t>
        </is>
      </c>
      <c r="AB173" s="7" t="inlineStr">
        <is>
          <t>registered — retest 1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1</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t>
        </is>
      </c>
      <c r="AB174" s="7" t="inlineStr">
        <is>
          <t>registered — retest 1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1</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t>
        </is>
      </c>
      <c r="AB175" s="7" t="inlineStr">
        <is>
          <t>registered — retest 1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1</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Register'!$B:$B,MATCH("P060052|R",'CoQ Register'!$S:$S,0)),"—")</f>
        <v/>
      </c>
      <c r="O176" s="6" t="inlineStr">
        <is>
          <t>—</t>
        </is>
      </c>
      <c r="P176" s="2" t="inlineStr">
        <is>
          <t>20.02.2027</t>
        </is>
      </c>
      <c r="Q176" s="2" t="inlineStr">
        <is>
          <t>11.12.2025</t>
        </is>
      </c>
      <c r="R176" s="2" t="inlineStr">
        <is>
          <t>30.01.2026 (the issuance plan's basis: 20.02.2026)</t>
        </is>
      </c>
      <c r="S176" s="5">
        <f>IFERROR(INDEX('CoQ Register'!$D:$D,MATCH("P060052|R",'CoQ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t>
        </is>
      </c>
      <c r="AB176" s="7" t="inlineStr">
        <is>
          <t>registered — retest 1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1</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t>
        </is>
      </c>
      <c r="AB177" s="7" t="inlineStr">
        <is>
          <t>registered — retest 1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1</t>
        </is>
      </c>
      <c r="I178" s="3" t="inlineStr">
        <is>
          <t>CC112501</t>
        </is>
      </c>
      <c r="J178" s="2" t="inlineStr">
        <is>
          <t>P060272</t>
        </is>
      </c>
      <c r="K178" s="2" t="inlineStr">
        <is>
          <t>Cash Cow</t>
        </is>
      </c>
      <c r="L178" s="2" t="inlineStr">
        <is>
          <t>Ident A + Ident B + Foreign matter</t>
        </is>
      </c>
      <c r="M178" s="6" t="inlineStr">
        <is>
          <t>—</t>
        </is>
      </c>
      <c r="N178" s="2">
        <f>IFERROR(INDEX('CoQ Register'!$B:$B,MATCH("P060272|R",'CoQ Register'!$S:$S,0)),"—")</f>
        <v/>
      </c>
      <c r="O178" s="6" t="inlineStr">
        <is>
          <t>—</t>
        </is>
      </c>
      <c r="P178" s="2" t="inlineStr">
        <is>
          <t>11.05.2027</t>
        </is>
      </c>
      <c r="Q178" s="2" t="inlineStr">
        <is>
          <t>25.03.2026</t>
        </is>
      </c>
      <c r="R178" s="2" t="inlineStr">
        <is>
          <t>18.05.2026 (the issuance plan's basis: 11.05.2026)</t>
        </is>
      </c>
      <c r="S178" s="5">
        <f>IFERROR(INDEX('CoQ Register'!$D:$D,MATCH("P060272|R",'CoQ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t>
        </is>
      </c>
      <c r="AB178" s="7" t="inlineStr">
        <is>
          <t>registered — retest 1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1</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Register'!$B:$B,MATCH("P050172|R",'CoQ Register'!$S:$S,0)),"—")</f>
        <v/>
      </c>
      <c r="O179" s="6" t="inlineStr">
        <is>
          <t>—</t>
        </is>
      </c>
      <c r="P179" s="2" t="inlineStr">
        <is>
          <t>17.09.2026</t>
        </is>
      </c>
      <c r="Q179" s="2" t="inlineStr">
        <is>
          <t>20.08.2025</t>
        </is>
      </c>
      <c r="R179" s="2" t="inlineStr">
        <is>
          <t>01.10.2025 – 02.10.2025 (the issuance plan's basis: 17.09.2025)</t>
        </is>
      </c>
      <c r="S179" s="5">
        <f>IFERROR(INDEX('CoQ Register'!$D:$D,MATCH("P050172|R",'CoQ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t>
        </is>
      </c>
      <c r="AB179" s="7" t="inlineStr">
        <is>
          <t>registered — retest 1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1</t>
        </is>
      </c>
      <c r="I180" s="3" t="inlineStr">
        <is>
          <t>CJ072501</t>
        </is>
      </c>
      <c r="J180" s="2" t="inlineStr">
        <is>
          <t>P050252</t>
        </is>
      </c>
      <c r="K180" s="2" t="inlineStr">
        <is>
          <t>Cap Junky</t>
        </is>
      </c>
      <c r="L180" s="2" t="inlineStr">
        <is>
          <t>Ident A + Ident B + Foreign matter</t>
        </is>
      </c>
      <c r="M180" s="6" t="inlineStr">
        <is>
          <t>—</t>
        </is>
      </c>
      <c r="N180" s="2">
        <f>IFERROR(INDEX('CoQ Register'!$B:$B,MATCH("P050252|R",'CoQ Register'!$S:$S,0)),"—")</f>
        <v/>
      </c>
      <c r="O180" s="6" t="inlineStr">
        <is>
          <t>—</t>
        </is>
      </c>
      <c r="P180" s="2" t="inlineStr">
        <is>
          <t>02.12.2026</t>
        </is>
      </c>
      <c r="Q180" s="2" t="inlineStr">
        <is>
          <t>27.10.2025</t>
        </is>
      </c>
      <c r="R180" s="2" t="inlineStr">
        <is>
          <t>27.11.2025 – 28.11.2025 (the issuance plan's basis: 02.12.2025)</t>
        </is>
      </c>
      <c r="S180" s="5">
        <f>IFERROR(INDEX('CoQ Register'!$D:$D,MATCH("P050252|R",'CoQ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t>
        </is>
      </c>
      <c r="AB180" s="7" t="inlineStr">
        <is>
          <t>registered — retest 1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1</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Register'!$B:$B,MATCH("CJ1024|R",'CoQ Register'!$S:$S,0)),"—")</f>
        <v/>
      </c>
      <c r="O181" s="6" t="inlineStr">
        <is>
          <t>—</t>
        </is>
      </c>
      <c r="P181" s="2" t="inlineStr">
        <is>
          <t>27.02.2026</t>
        </is>
      </c>
      <c r="Q181" s="2" t="inlineStr">
        <is>
          <t>20.01.2025</t>
        </is>
      </c>
      <c r="R181" s="2" t="inlineStr">
        <is>
          <t>03.03.2025 (the issuance plan's basis: 27.02.2025)</t>
        </is>
      </c>
      <c r="S181" s="5">
        <f>IFERROR(INDEX('CoQ Register'!$D:$D,MATCH("CJ1024|R",'CoQ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t>
        </is>
      </c>
      <c r="AB181" s="7" t="inlineStr">
        <is>
          <t>registered — retest 1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1</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Register'!$B:$B,MATCH("P060432|R",'CoQ Register'!$S:$S,0)),"—")</f>
        <v/>
      </c>
      <c r="O182" s="6" t="inlineStr">
        <is>
          <t>—</t>
        </is>
      </c>
      <c r="P182" s="2" t="inlineStr">
        <is>
          <t>30.06.2027</t>
        </is>
      </c>
      <c r="Q182" s="2" t="inlineStr">
        <is>
          <t>04.05.2026</t>
        </is>
      </c>
      <c r="R182" s="2" t="inlineStr">
        <is>
          <t>15.06.2026 (the issuance plan's basis: 30.06.2026)</t>
        </is>
      </c>
      <c r="S182" s="5">
        <f>IFERROR(INDEX('CoQ Register'!$D:$D,MATCH("P060432|R",'CoQ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t>
        </is>
      </c>
      <c r="AB182" s="7" t="inlineStr">
        <is>
          <t>registered — retest 1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1</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Register'!$B:$B,MATCH("P060392|R",'CoQ Register'!$S:$S,0)),"—")</f>
        <v/>
      </c>
      <c r="O183" s="6" t="inlineStr">
        <is>
          <t>—</t>
        </is>
      </c>
      <c r="P183" s="2" t="inlineStr">
        <is>
          <t>30.06.2027</t>
        </is>
      </c>
      <c r="Q183" s="2" t="inlineStr">
        <is>
          <t>29.04.2026</t>
        </is>
      </c>
      <c r="R183" s="2" t="inlineStr">
        <is>
          <t>23.05.2026 (the issuance plan's basis: 30.06.2026)</t>
        </is>
      </c>
      <c r="S183" s="5">
        <f>IFERROR(INDEX('CoQ Register'!$D:$D,MATCH("P060392|R",'CoQ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t>
        </is>
      </c>
      <c r="AB183" s="7" t="inlineStr">
        <is>
          <t>registered — retest 1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1</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Register'!$B:$B,MATCH("P060292|R",'CoQ Register'!$S:$S,0)),"—")</f>
        <v/>
      </c>
      <c r="O184" s="6" t="inlineStr">
        <is>
          <t>—</t>
        </is>
      </c>
      <c r="P184" s="2" t="inlineStr">
        <is>
          <t>11.05.2027</t>
        </is>
      </c>
      <c r="Q184" s="2" t="inlineStr">
        <is>
          <t>25.03.2026</t>
        </is>
      </c>
      <c r="R184" s="2" t="inlineStr">
        <is>
          <t>19.05.2026 (the issuance plan's basis: 11.05.2026)</t>
        </is>
      </c>
      <c r="S184" s="5">
        <f>IFERROR(INDEX('CoQ Register'!$D:$D,MATCH("P060292|R",'CoQ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t>
        </is>
      </c>
      <c r="AB184" s="7" t="inlineStr">
        <is>
          <t>registered — retest 1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1</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Register'!$B:$B,MATCH("P060302|R",'CoQ Register'!$S:$S,0)),"—")</f>
        <v/>
      </c>
      <c r="O185" s="6" t="inlineStr">
        <is>
          <t>—</t>
        </is>
      </c>
      <c r="P185" s="2" t="inlineStr">
        <is>
          <t>11.05.2027</t>
        </is>
      </c>
      <c r="Q185" s="2" t="inlineStr">
        <is>
          <t>27.03.2026</t>
        </is>
      </c>
      <c r="R185" s="2" t="inlineStr">
        <is>
          <t>20.05.2026 (the issuance plan's basis: 11.05.2026)</t>
        </is>
      </c>
      <c r="S185" s="5">
        <f>IFERROR(INDEX('CoQ Register'!$D:$D,MATCH("P060302|R",'CoQ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t>
        </is>
      </c>
      <c r="AB185" s="7" t="inlineStr">
        <is>
          <t>registered — retest 1 · Tranche 3 (sampled 19–21.08.2026), tested 21.08.2026, issued 24.08.2026</t>
        </is>
      </c>
    </row>
    <row r="186">
      <c r="A186" s="2" t="inlineStr"/>
      <c r="B186" s="3" t="inlineStr">
        <is>
          <t>— at issue —</t>
        </is>
      </c>
      <c r="C186" s="6" t="inlineStr">
        <is>
          <t>no</t>
        </is>
      </c>
      <c r="D186" s="5">
        <f>IF(A186="","",IF(ISNUMBER(E186),MAX(DATE(2026,6,3),E186),DATE(2026,6,3)))</f>
        <v/>
      </c>
      <c r="E186" s="5">
        <f>IFERROR(INDEX('Batch Dates'!$F:$F,MATCH(J186,'Batch Dates'!$C:$C,0)),IFERROR(INDEX('Batch Dates'!$F:$F,MATCH(I186,'Batch Dates'!$B:$B,0)),""))</f>
        <v/>
      </c>
      <c r="F186" s="5">
        <f>IFERROR(INDEX('Batch Dates'!$G:$G,MATCH(J186,'Batch Dates'!$C:$C,0)),IFERROR(INDEX('Batch Dates'!$G:$G,MATCH(I186,'Batch Dates'!$B:$B,0)),""))</f>
        <v/>
      </c>
      <c r="G186" s="2" t="inlineStr">
        <is>
          <t>—</t>
        </is>
      </c>
      <c r="H186" s="2" t="inlineStr">
        <is>
          <t>initial release</t>
        </is>
      </c>
      <c r="I186" s="3" t="inlineStr">
        <is>
          <t>JD112501＊</t>
        </is>
      </c>
      <c r="J186" s="2" t="inlineStr">
        <is>
          <t>N/A — no P batch assigned</t>
        </is>
      </c>
      <c r="K186" s="2" t="inlineStr">
        <is>
          <t>Jelly Donutz</t>
        </is>
      </c>
      <c r="L186" s="2" t="inlineStr">
        <is>
          <t>Ident A + Ident B + Foreign matter</t>
        </is>
      </c>
      <c r="M186" s="6" t="inlineStr">
        <is>
          <t>—</t>
        </is>
      </c>
      <c r="N186" s="2">
        <f>IFERROR(INDEX('CoQ Register'!$B:$B,MATCH("JD112501|I",'CoQ Register'!$S:$S,0)),"—")</f>
        <v/>
      </c>
      <c r="O186" s="2" t="inlineStr">
        <is>
          <t>iCoA-PP-2026-0015</t>
        </is>
      </c>
      <c r="P186" s="2" t="inlineStr">
        <is>
          <t>21.04.2026</t>
        </is>
      </c>
      <c r="Q186" s="2" t="inlineStr">
        <is>
          <t>— not on the list —</t>
        </is>
      </c>
      <c r="R186" s="2" t="inlineStr">
        <is>
          <t>— not on the list —</t>
        </is>
      </c>
      <c r="S186" s="5">
        <f>IFERROR(INDEX('CoQ Register'!$D:$D,MATCH("JD112501|I",'CoQ Register'!$S:$S,0)),"")</f>
        <v/>
      </c>
      <c r="T186" s="2" t="inlineStr">
        <is>
          <t>Conforms</t>
        </is>
      </c>
      <c r="U186" s="2" t="inlineStr">
        <is>
          <t>Conforms</t>
        </is>
      </c>
      <c r="V186" s="2" t="inlineStr">
        <is>
          <t>Conforms</t>
        </is>
      </c>
      <c r="W186" s="2" t="inlineStr">
        <is>
          <t>— no cannabinoid certificate from the initial testing —</t>
        </is>
      </c>
      <c r="X186" s="2" t="inlineStr">
        <is>
          <t>—</t>
        </is>
      </c>
      <c r="Y186" s="2" t="inlineStr">
        <is>
          <t>—</t>
        </is>
      </c>
      <c r="Z186" s="2" t="inlineStr">
        <is>
          <t>—</t>
        </is>
      </c>
      <c r="AA186" s="2" t="inlineStr">
        <is>
          <t>JD112501|I</t>
        </is>
      </c>
      <c r="AB186" s="8" t="inlineStr">
        <is>
          <t>not yet issuable — no packaging date on the list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t>
        </is>
      </c>
      <c r="H187" s="2" t="inlineStr">
        <is>
          <t>retest — not yet sampled</t>
        </is>
      </c>
      <c r="I187" s="3" t="inlineStr">
        <is>
          <t>JD112501＊</t>
        </is>
      </c>
      <c r="J187" s="2" t="inlineStr">
        <is>
          <t>N/A — no P batch assigned</t>
        </is>
      </c>
      <c r="K187" s="2" t="inlineStr">
        <is>
          <t>Jelly Donutz</t>
        </is>
      </c>
      <c r="L187" s="2" t="inlineStr">
        <is>
          <t>Ident A + Ident B + Foreign matter</t>
        </is>
      </c>
      <c r="M187" s="6" t="inlineStr">
        <is>
          <t>—</t>
        </is>
      </c>
      <c r="N187" s="2">
        <f>IFERROR(INDEX('CoQ Register'!$B:$B,MATCH("JD112501|R",'CoQ Register'!$S:$S,0)),"—")</f>
        <v/>
      </c>
      <c r="O187" s="6" t="inlineStr">
        <is>
          <t>—</t>
        </is>
      </c>
      <c r="P187" s="2" t="inlineStr">
        <is>
          <t>21.04.2027</t>
        </is>
      </c>
      <c r="Q187" s="2" t="inlineStr">
        <is>
          <t>— not on the list —</t>
        </is>
      </c>
      <c r="R187" s="2" t="inlineStr">
        <is>
          <t>— not on the list —</t>
        </is>
      </c>
      <c r="S187" s="5">
        <f>IFERROR(INDEX('CoQ Register'!$D:$D,MATCH("JD112501|R",'CoQ Register'!$S:$S,0)),"")</f>
        <v/>
      </c>
      <c r="T187" s="2" t="inlineStr">
        <is>
          <t>to test</t>
        </is>
      </c>
      <c r="U187" s="2" t="inlineStr">
        <is>
          <t>to test</t>
        </is>
      </c>
      <c r="V187" s="2" t="inlineStr">
        <is>
          <t>to test</t>
        </is>
      </c>
      <c r="W187" s="2" t="inlineStr">
        <is>
          <t>— retest assay not yet on file —</t>
        </is>
      </c>
      <c r="X187" s="2" t="inlineStr">
        <is>
          <t>— pending —</t>
        </is>
      </c>
      <c r="Y187" s="2" t="inlineStr">
        <is>
          <t>— pending —</t>
        </is>
      </c>
      <c r="Z187" s="2" t="inlineStr">
        <is>
          <t>#8, #9, #11, #12 from the initial testing</t>
        </is>
      </c>
      <c r="AA187" s="2" t="inlineStr">
        <is>
          <t>JD112501|R</t>
        </is>
      </c>
      <c r="AB187" s="8" t="inlineStr">
        <is>
          <t>not yet issuable — no campaign sampling date on file</t>
        </is>
      </c>
    </row>
    <row r="188"/>
    <row r="189" ht="110" customHeight="1">
      <c r="A189"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189:AB189"/>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iCoA-PP_26-100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iCoA-PP_26-101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iCoA-PP_26-105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iCoA-PP_26-102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iCoA-PP_26-103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iCoA-PP_26-104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iCoA-PP_26-109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iCoA-PP_26-110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iCoA-PP_26-106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iCoA-PP_26-107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iCoA-PP_26-111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iCoA-PP_26-112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iCoA-PP_26-113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iCoA-PP_26-114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iCoA-PP_26-115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iCoA-PP_26-116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iCoA-PP_26-117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iCoA-PP_26-118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iCoA-PP_26-120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iCoA-PP_26-119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iCoA-PP_26-123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iCoA-PP_26-124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iCoA-PP_26-145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iCoA-PP_26-125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iCoA-PP_26-126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iCoA-PP_26-127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iCoA-PP_26-128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iCoA-PP_26-129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iCoA-PP_26-130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iCoA-PP_26-131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iCoA-PP_26-132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iCoA-PP_26-134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iCoA-PP_26-135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iCoA-PP_26-136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iCoA-PP_26-137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iCoA-PP_26-140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iCoA-PP_26-138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iCoA-PP_26-139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iCoA-PP_26-148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iCoA-PP_26-141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iCoA-PP_26-142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iCoA-PP_26-144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iCoA-PP_26-143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iCoA-PP_26-149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iCoA-PP_26-150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iCoA-PP_26-151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iCoA-PP_26-152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iCoA-PP_26-153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iCoA-PP_26-154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Register'!$B:$B,MATCH("P060052|R",'iCoA Register'!$AA:$AA,0)),"—")</f>
        <v/>
      </c>
      <c r="I135" s="5">
        <f>IFERROR(INDEX('iCoA Register'!$D:$D,MATCH("P060052|R",'iCoA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iCoA-PP_26-175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Register'!$B:$B,MATCH("P050122|R",'iCoA Register'!$AA:$AA,0)),"—")</f>
        <v/>
      </c>
      <c r="I136" s="5">
        <f>IFERROR(INDEX('iCoA Register'!$D:$D,MATCH("P050122|R",'iCoA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iCoA-PP_26-176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Register'!$B:$B,MATCH("P050142|R",'iCoA Register'!$AA:$AA,0)),"—")</f>
        <v/>
      </c>
      <c r="I137" s="5">
        <f>IFERROR(INDEX('iCoA Register'!$D:$D,MATCH("P050142|R",'iCoA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iCoA-PP_26-155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Register'!$B:$B,MATCH("P060272|R",'iCoA Register'!$AA:$AA,0)),"—")</f>
        <v/>
      </c>
      <c r="I138" s="5">
        <f>IFERROR(INDEX('iCoA Register'!$D:$D,MATCH("P060272|R",'iCoA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iCoA-PP_26-177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Register'!$B:$B,MATCH("P050172|R",'iCoA Register'!$AA:$AA,0)),"—")</f>
        <v/>
      </c>
      <c r="I139" s="5">
        <f>IFERROR(INDEX('iCoA Register'!$D:$D,MATCH("P050172|R",'iCoA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iCoA-PP_26-178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Register'!$B:$B,MATCH("P050252|R",'iCoA Register'!$AA:$AA,0)),"—")</f>
        <v/>
      </c>
      <c r="I140" s="5">
        <f>IFERROR(INDEX('iCoA Register'!$D:$D,MATCH("P050252|R",'iCoA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iCoA-PP_26-179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Register'!$B:$B,MATCH("CJ1024|R",'iCoA Register'!$AA:$AA,0)),"—")</f>
        <v/>
      </c>
      <c r="I141" s="5">
        <f>IFERROR(INDEX('iCoA Register'!$D:$D,MATCH("CJ1024|R",'iCoA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iCoA-PP_26-180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Register'!$B:$B,MATCH("P060432|R",'iCoA Register'!$AA:$AA,0)),"—")</f>
        <v/>
      </c>
      <c r="I142" s="5">
        <f>IFERROR(INDEX('iCoA Register'!$D:$D,MATCH("P060432|R",'iCoA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iCoA-PP_26-181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Register'!$B:$B,MATCH("P060392|R",'iCoA Register'!$AA:$AA,0)),"—")</f>
        <v/>
      </c>
      <c r="I143" s="5">
        <f>IFERROR(INDEX('iCoA Register'!$D:$D,MATCH("P060392|R",'iCoA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iCoA-PP_26-182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Register'!$B:$B,MATCH("P060292|R",'iCoA Register'!$AA:$AA,0)),"—")</f>
        <v/>
      </c>
      <c r="I144" s="5">
        <f>IFERROR(INDEX('iCoA Register'!$D:$D,MATCH("P060292|R",'iCoA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iCoA-PP_26-183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Register'!$B:$B,MATCH("P050012|R",'iCoA Register'!$AA:$AA,0)),"—")</f>
        <v/>
      </c>
      <c r="I145" s="5">
        <f>IFERROR(INDEX('iCoA Register'!$D:$D,MATCH("P050012|R",'iCoA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iCoA-PP_26-165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Register'!$B:$B,MATCH("P060252|R",'iCoA Register'!$AA:$AA,0)),"—")</f>
        <v/>
      </c>
      <c r="I146" s="5">
        <f>IFERROR(INDEX('iCoA Register'!$D:$D,MATCH("P060252|R",'iCoA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iCoA-PP_26-166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Register'!$B:$B,MATCH("P050292|R",'iCoA Register'!$AA:$AA,0)),"—")</f>
        <v/>
      </c>
      <c r="I148" s="5">
        <f>IFERROR(INDEX('iCoA Register'!$D:$D,MATCH("P050292|R",'iCoA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iCoA-PP_26-168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Register'!$B:$B,MATCH("P050102|R",'iCoA Register'!$AA:$AA,0)),"—")</f>
        <v/>
      </c>
      <c r="I149" s="5">
        <f>IFERROR(INDEX('iCoA Register'!$D:$D,MATCH("P050102|R",'iCoA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iCoA-PP_26-156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Register'!$B:$B,MATCH("P060142|R",'iCoA Register'!$AA:$AA,0)),"—")</f>
        <v/>
      </c>
      <c r="I150" s="5">
        <f>IFERROR(INDEX('iCoA Register'!$D:$D,MATCH("P060142|R",'iCoA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iCoA-PP_26-169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Register'!$B:$B,MATCH("P060262|R",'iCoA Register'!$AA:$AA,0)),"—")</f>
        <v/>
      </c>
      <c r="I152" s="5">
        <f>IFERROR(INDEX('iCoA Register'!$D:$D,MATCH("P060262|R",'iCoA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iCoA-PP_26-171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Register'!$B:$B,MATCH("P050032|R",'iCoA Register'!$AA:$AA,0)),"—")</f>
        <v/>
      </c>
      <c r="I153" s="5">
        <f>IFERROR(INDEX('iCoA Register'!$D:$D,MATCH("P050032|R",'iCoA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iCoA-PP_26-173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Register'!$B:$B,MATCH("P050132|R",'iCoA Register'!$AA:$AA,0)),"—")</f>
        <v/>
      </c>
      <c r="I154" s="5">
        <f>IFERROR(INDEX('iCoA Register'!$D:$D,MATCH("P050132|R",'iCoA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iCoA-PP_26-174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Register'!$B:$B,MATCH("P060222|R",'iCoA Register'!$AA:$AA,0)),"—")</f>
        <v/>
      </c>
      <c r="I155" s="5">
        <f>IFERROR(INDEX('iCoA Register'!$D:$D,MATCH("P060222|R",'iCoA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iCoA-PP_26-157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Register'!$B:$B,MATCH("P050272|R",'iCoA Register'!$AA:$AA,0)),"—")</f>
        <v/>
      </c>
      <c r="I156" s="5">
        <f>IFERROR(INDEX('iCoA Register'!$D:$D,MATCH("P050272|R",'iCoA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iCoA-PP_26-158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Register'!$B:$B,MATCH("P060342|R",'iCoA Register'!$AA:$AA,0)),"—")</f>
        <v/>
      </c>
      <c r="I157" s="5">
        <f>IFERROR(INDEX('iCoA Register'!$D:$D,MATCH("P060342|R",'iCoA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iCoA-PP_26-159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Register'!$B:$B,MATCH("P060442|R",'iCoA Register'!$AA:$AA,0)),"—")</f>
        <v/>
      </c>
      <c r="I158" s="5">
        <f>IFERROR(INDEX('iCoA Register'!$D:$D,MATCH("P060442|R",'iCoA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iCoA-PP_26-160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Register'!$B:$B,MATCH("P060162|R",'iCoA Register'!$AA:$AA,0)),"—")</f>
        <v/>
      </c>
      <c r="I159" s="5">
        <f>IFERROR(INDEX('iCoA Register'!$D:$D,MATCH("P060162|R",'iCoA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iCoA-PP_26-161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Register'!$B:$B,MATCH("P050262|R",'iCoA Register'!$AA:$AA,0)),"—")</f>
        <v/>
      </c>
      <c r="I161" s="5">
        <f>IFERROR(INDEX('iCoA Register'!$D:$D,MATCH("P050262|R",'iCoA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iCoA-PP_26-163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Register'!$B:$B,MATCH("P060102|R",'iCoA Register'!$AA:$AA,0)),"—")</f>
        <v/>
      </c>
      <c r="I162" s="5">
        <f>IFERROR(INDEX('iCoA Register'!$D:$D,MATCH("P060102|R",'iCoA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iCoA-PP_26-164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Register'!$B:$B,MATCH("P060302|R",'iCoA Register'!$AA:$AA,0)),"—")</f>
        <v/>
      </c>
      <c r="I166" s="5">
        <f>IFERROR(INDEX('iCoA Register'!$D:$D,MATCH("P060302|R",'iCoA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Register'!$B:$B,MATCH("P060312|R",'iCoA Register'!$AA:$AA,0)),"—")</f>
        <v/>
      </c>
      <c r="I168" s="5">
        <f>IFERROR(INDEX('iCoA Register'!$D:$D,MATCH("P060312|R",'iCoA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v33 on 15.09.2026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CoQ_Analysis_Master_v33.xlsx,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2026-09-15T16:06:49Z</dcterms:created>
  <dcterms:modified xsi:type="dcterms:W3CDTF">2026-09-15T16:06:49Z</dcterms:modified>
</cp:coreProperties>
</file>