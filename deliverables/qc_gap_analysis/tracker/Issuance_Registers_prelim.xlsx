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CoA Register" sheetId="1" state="visible" r:id="rId1"/>
    <sheet name="CoQ Register" sheetId="2" state="visible" r:id="rId2"/>
    <sheet name="Batch Dates" sheetId="3" state="visible" r:id="rId3"/>
    <sheet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iCoA_Register" displayName="iCoA_Register" ref="A1:Q167" headerRowCount="1">
  <autoFilter ref="A1:Q167"/>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Q1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Cup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HPA1024</t>
        </is>
      </c>
      <c r="J5" s="2" t="inlineStr">
        <is>
          <t>N/A — no P batch assigned</t>
        </is>
      </c>
      <c r="K5" s="2" t="inlineStr">
        <is>
          <t>HighProAmnesia</t>
        </is>
      </c>
      <c r="L5" s="2" t="inlineStr">
        <is>
          <t>Ident A + Ident B + #4 + #5 + Foreign matter + #9.1 + #9.2 + #9.3 + #9.4 + #9.5 + #10.2 + #11.1 + #11.2 + #11.3 + #11.4 + #12</t>
        </is>
      </c>
      <c r="M5" s="6" t="inlineStr">
        <is>
          <t>—</t>
        </is>
      </c>
      <c r="N5" s="2">
        <f>IFERROR(INDEX('CoQ Register'!$B:$B,MATCH("HPA1024|I",'CoQ Register'!$S:$S,0)),"—")</f>
        <v/>
      </c>
      <c r="O5" s="2" t="inlineStr">
        <is>
          <t>iCoA-PP-2025-0004</t>
        </is>
      </c>
      <c r="P5" s="2" t="inlineStr">
        <is>
          <t>HPA1024|I</t>
        </is>
      </c>
      <c r="Q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OPM1024</t>
        </is>
      </c>
      <c r="J6" s="2" t="inlineStr">
        <is>
          <t>N/A — no P batch assigned</t>
        </is>
      </c>
      <c r="K6" s="2" t="inlineStr">
        <is>
          <t>OrangePunchMimosa</t>
        </is>
      </c>
      <c r="L6" s="2" t="inlineStr">
        <is>
          <t>Ident A + Ident B + #4 + #5 + Foreign matter + #9.1 + #9.2 + #9.3 + #9.4 + #9.5 + #10.2 + #11.1 + #11.2 + #11.3 + #11.4 + #12</t>
        </is>
      </c>
      <c r="M6" s="6" t="inlineStr">
        <is>
          <t>—</t>
        </is>
      </c>
      <c r="N6" s="2">
        <f>IFERROR(INDEX('CoQ Register'!$B:$B,MATCH("OPM1024|I",'CoQ Register'!$S:$S,0)),"—")</f>
        <v/>
      </c>
      <c r="O6" s="2" t="inlineStr">
        <is>
          <t>iCoA-PP-2025-0005</t>
        </is>
      </c>
      <c r="P6" s="2" t="inlineStr">
        <is>
          <t>OPM1024|I</t>
        </is>
      </c>
      <c r="Q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GP0824_02</t>
        </is>
      </c>
      <c r="J7" s="2" t="inlineStr">
        <is>
          <t>P050022</t>
        </is>
      </c>
      <c r="K7" s="2" t="inlineStr">
        <is>
          <t>Grape Pie</t>
        </is>
      </c>
      <c r="L7" s="2" t="inlineStr">
        <is>
          <t>Ident A + Ident B + Foreign matter</t>
        </is>
      </c>
      <c r="M7" s="6" t="inlineStr">
        <is>
          <t>—</t>
        </is>
      </c>
      <c r="N7" s="2">
        <f>IFERROR(INDEX('CoQ Register'!$B:$B,MATCH("P050022|I",'CoQ Register'!$S:$S,0)),"—")</f>
        <v/>
      </c>
      <c r="O7" s="2" t="inlineStr">
        <is>
          <t>iCoA-PP-2025-0006</t>
        </is>
      </c>
      <c r="P7" s="2" t="inlineStr">
        <is>
          <t>P050022|I</t>
        </is>
      </c>
      <c r="Q7" s="7" t="inlineStr">
        <is>
          <t>registered — initial release, issued 03.06.2026</t>
        </is>
      </c>
    </row>
    <row r="8">
      <c r="A8" s="2" t="n">
        <v>7</v>
      </c>
      <c r="B8" s="3" t="inlineStr">
        <is>
          <t>iCoA-PP_26-007</t>
        </is>
      </c>
      <c r="C8" s="4" t="inlineStr">
        <is>
          <t>yes</t>
        </is>
      </c>
      <c r="D8" s="5">
        <f>IF(A8="","",IF(ISNUMBER(E8),MAX(DATE(2026,6,3),E8),DATE(2026,6,3)))</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GG1024_02</t>
        </is>
      </c>
      <c r="J8" s="2" t="inlineStr">
        <is>
          <t>P050012</t>
        </is>
      </c>
      <c r="K8" s="2" t="inlineStr">
        <is>
          <t>Gorilla Glue</t>
        </is>
      </c>
      <c r="L8" s="2" t="inlineStr">
        <is>
          <t>Ident A + Ident B + Foreign matter</t>
        </is>
      </c>
      <c r="M8" s="6" t="inlineStr">
        <is>
          <t>—</t>
        </is>
      </c>
      <c r="N8" s="2">
        <f>IFERROR(INDEX('CoQ Register'!$B:$B,MATCH("P050012|I",'CoQ Register'!$S:$S,0)),"—")</f>
        <v/>
      </c>
      <c r="O8" s="6" t="inlineStr">
        <is>
          <t>—</t>
        </is>
      </c>
      <c r="P8" s="2" t="inlineStr">
        <is>
          <t>P050012|I</t>
        </is>
      </c>
      <c r="Q8" s="7" t="inlineStr">
        <is>
          <t>registered — initial release,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MB0824_04</t>
        </is>
      </c>
      <c r="J9" s="2" t="inlineStr">
        <is>
          <t>P050032</t>
        </is>
      </c>
      <c r="K9" s="2" t="inlineStr">
        <is>
          <t>Motor Breath</t>
        </is>
      </c>
      <c r="L9" s="2" t="inlineStr">
        <is>
          <t>Ident A + Ident B + Foreign matter</t>
        </is>
      </c>
      <c r="M9" s="6" t="inlineStr">
        <is>
          <t>—</t>
        </is>
      </c>
      <c r="N9" s="2">
        <f>IFERROR(INDEX('CoQ Register'!$B:$B,MATCH("P050032|I",'CoQ Register'!$S:$S,0)),"—")</f>
        <v/>
      </c>
      <c r="O9" s="6" t="inlineStr">
        <is>
          <t>—</t>
        </is>
      </c>
      <c r="P9" s="2" t="inlineStr">
        <is>
          <t>P050032|I</t>
        </is>
      </c>
      <c r="Q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HPA1024_01</t>
        </is>
      </c>
      <c r="J10" s="2" t="inlineStr">
        <is>
          <t>P050052</t>
        </is>
      </c>
      <c r="K10" s="2" t="inlineStr">
        <is>
          <t>High Pro Amnesia</t>
        </is>
      </c>
      <c r="L10" s="2" t="inlineStr">
        <is>
          <t>Ident A + Ident B + Foreign matter</t>
        </is>
      </c>
      <c r="M10" s="6" t="inlineStr">
        <is>
          <t>—</t>
        </is>
      </c>
      <c r="N10" s="2">
        <f>IFERROR(INDEX('CoQ Register'!$B:$B,MATCH("P050052|I",'CoQ Register'!$S:$S,0)),"—")</f>
        <v/>
      </c>
      <c r="O10" s="2" t="inlineStr">
        <is>
          <t>iCoA-PP-2025-0008</t>
        </is>
      </c>
      <c r="P10" s="2" t="inlineStr">
        <is>
          <t>P050052|I</t>
        </is>
      </c>
      <c r="Q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OPM1024_02</t>
        </is>
      </c>
      <c r="J11" s="2" t="inlineStr">
        <is>
          <t>P050062</t>
        </is>
      </c>
      <c r="K11" s="2" t="inlineStr">
        <is>
          <t>Orange Punch Mimosa</t>
        </is>
      </c>
      <c r="L11" s="2" t="inlineStr">
        <is>
          <t>Ident A + Ident B + Foreign matter</t>
        </is>
      </c>
      <c r="M11" s="6" t="inlineStr">
        <is>
          <t>—</t>
        </is>
      </c>
      <c r="N11" s="2">
        <f>IFERROR(INDEX('CoQ Register'!$B:$B,MATCH("P050062|I",'CoQ Register'!$S:$S,0)),"—")</f>
        <v/>
      </c>
      <c r="O11" s="2" t="inlineStr">
        <is>
          <t>iCoA-PP-2025-0009</t>
        </is>
      </c>
      <c r="P11" s="2" t="inlineStr">
        <is>
          <t>P050062|I</t>
        </is>
      </c>
      <c r="Q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GP0824_03</t>
        </is>
      </c>
      <c r="J12" s="2" t="inlineStr">
        <is>
          <t>P050072</t>
        </is>
      </c>
      <c r="K12" s="2" t="inlineStr">
        <is>
          <t>Grape Pie</t>
        </is>
      </c>
      <c r="L12" s="2" t="inlineStr">
        <is>
          <t>Ident A + Ident B + Foreign matter</t>
        </is>
      </c>
      <c r="M12" s="6" t="inlineStr">
        <is>
          <t>—</t>
        </is>
      </c>
      <c r="N12" s="2">
        <f>IFERROR(INDEX('CoQ Register'!$B:$B,MATCH("P050072|I",'CoQ Register'!$S:$S,0)),"—")</f>
        <v/>
      </c>
      <c r="O12" s="2" t="inlineStr">
        <is>
          <t>iCoA-PP-2025-0010</t>
        </is>
      </c>
      <c r="P12" s="2" t="inlineStr">
        <is>
          <t>P050072|I</t>
        </is>
      </c>
      <c r="Q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OPM1024_03</t>
        </is>
      </c>
      <c r="J13" s="2" t="inlineStr">
        <is>
          <t>P050082</t>
        </is>
      </c>
      <c r="K13" s="2" t="inlineStr">
        <is>
          <t>Orange Punch Mimosa</t>
        </is>
      </c>
      <c r="L13" s="2" t="inlineStr">
        <is>
          <t>Ident A + Ident B + Foreign matter</t>
        </is>
      </c>
      <c r="M13" s="6" t="inlineStr">
        <is>
          <t>—</t>
        </is>
      </c>
      <c r="N13" s="2">
        <f>IFERROR(INDEX('CoQ Register'!$B:$B,MATCH("P050082|I",'CoQ Register'!$S:$S,0)),"—")</f>
        <v/>
      </c>
      <c r="O13" s="2" t="inlineStr">
        <is>
          <t>iCoA-PP-2025-0011</t>
        </is>
      </c>
      <c r="P13" s="2" t="inlineStr">
        <is>
          <t>P050082|I</t>
        </is>
      </c>
      <c r="Q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GG1024_01</t>
        </is>
      </c>
      <c r="J14" s="2" t="inlineStr">
        <is>
          <t>P050092</t>
        </is>
      </c>
      <c r="K14" s="2" t="inlineStr">
        <is>
          <t>Gorilla Glue</t>
        </is>
      </c>
      <c r="L14" s="2" t="inlineStr">
        <is>
          <t>Ident A + Ident B + Foreign matter</t>
        </is>
      </c>
      <c r="M14" s="6" t="inlineStr">
        <is>
          <t>—</t>
        </is>
      </c>
      <c r="N14" s="2">
        <f>IFERROR(INDEX('CoQ Register'!$B:$B,MATCH("P050092|I",'CoQ Register'!$S:$S,0)),"—")</f>
        <v/>
      </c>
      <c r="O14" s="2" t="inlineStr">
        <is>
          <t>iCoA-PP-2025-0012</t>
        </is>
      </c>
      <c r="P14" s="2" t="inlineStr">
        <is>
          <t>P050092|I</t>
        </is>
      </c>
      <c r="Q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GP0824_01</t>
        </is>
      </c>
      <c r="J15" s="2" t="inlineStr">
        <is>
          <t>P050102</t>
        </is>
      </c>
      <c r="K15" s="2" t="inlineStr">
        <is>
          <t>Grape Pie</t>
        </is>
      </c>
      <c r="L15" s="2" t="inlineStr">
        <is>
          <t>Ident A + Ident B + Foreign matter</t>
        </is>
      </c>
      <c r="M15" s="6" t="inlineStr">
        <is>
          <t>—</t>
        </is>
      </c>
      <c r="N15" s="2">
        <f>IFERROR(INDEX('CoQ Register'!$B:$B,MATCH("P050102|I",'CoQ Register'!$S:$S,0)),"—")</f>
        <v/>
      </c>
      <c r="O15" s="6" t="inlineStr">
        <is>
          <t>—</t>
        </is>
      </c>
      <c r="P15" s="2" t="inlineStr">
        <is>
          <t>P050102|I</t>
        </is>
      </c>
      <c r="Q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MB0824_05</t>
        </is>
      </c>
      <c r="J16" s="2" t="inlineStr">
        <is>
          <t>P050112</t>
        </is>
      </c>
      <c r="K16" s="2" t="inlineStr">
        <is>
          <t>Motor Breath</t>
        </is>
      </c>
      <c r="L16" s="2" t="inlineStr">
        <is>
          <t>Ident A + Ident B + Foreign matter</t>
        </is>
      </c>
      <c r="M16" s="6" t="inlineStr">
        <is>
          <t>—</t>
        </is>
      </c>
      <c r="N16" s="2">
        <f>IFERROR(INDEX('CoQ Register'!$B:$B,MATCH("P050112|I",'CoQ Register'!$S:$S,0)),"—")</f>
        <v/>
      </c>
      <c r="O16" s="2" t="inlineStr">
        <is>
          <t>iCoA-PP-2025-0013</t>
        </is>
      </c>
      <c r="P16" s="2" t="inlineStr">
        <is>
          <t>P050112|I</t>
        </is>
      </c>
      <c r="Q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OPM052501</t>
        </is>
      </c>
      <c r="J17" s="2" t="inlineStr">
        <is>
          <t>P050132</t>
        </is>
      </c>
      <c r="K17" s="2" t="inlineStr">
        <is>
          <t>Orange Punch Mimosa</t>
        </is>
      </c>
      <c r="L17" s="2" t="inlineStr">
        <is>
          <t>Ident A + Ident B + Foreign matter</t>
        </is>
      </c>
      <c r="M17" s="6" t="inlineStr">
        <is>
          <t>—</t>
        </is>
      </c>
      <c r="N17" s="2">
        <f>IFERROR(INDEX('CoQ Register'!$B:$B,MATCH("P050132|I",'CoQ Register'!$S:$S,0)),"—")</f>
        <v/>
      </c>
      <c r="O17" s="6" t="inlineStr">
        <is>
          <t>—</t>
        </is>
      </c>
      <c r="P17" s="2" t="inlineStr">
        <is>
          <t>P050132|I</t>
        </is>
      </c>
      <c r="Q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GP052501</t>
        </is>
      </c>
      <c r="J18" s="2" t="inlineStr">
        <is>
          <t>P050152</t>
        </is>
      </c>
      <c r="K18" s="2" t="inlineStr">
        <is>
          <t>Grape Pie</t>
        </is>
      </c>
      <c r="L18" s="2" t="inlineStr">
        <is>
          <t>Ident A + Ident B + Foreign matter</t>
        </is>
      </c>
      <c r="M18" s="6" t="inlineStr">
        <is>
          <t>—</t>
        </is>
      </c>
      <c r="N18" s="2">
        <f>IFERROR(INDEX('CoQ Register'!$B:$B,MATCH("P050152|I",'CoQ Register'!$S:$S,0)),"—")</f>
        <v/>
      </c>
      <c r="O18" s="2" t="inlineStr">
        <is>
          <t>iCoA-PP-2025-0014</t>
        </is>
      </c>
      <c r="P18" s="2" t="inlineStr">
        <is>
          <t>P050152|I</t>
        </is>
      </c>
      <c r="Q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CJ052501/01</t>
        </is>
      </c>
      <c r="J19" s="2" t="inlineStr">
        <is>
          <t>P050162</t>
        </is>
      </c>
      <c r="K19" s="2" t="inlineStr">
        <is>
          <t>Cup Junky</t>
        </is>
      </c>
      <c r="L19" s="2" t="inlineStr">
        <is>
          <t>Ident A + Ident B + Foreign matter</t>
        </is>
      </c>
      <c r="M19" s="6" t="inlineStr">
        <is>
          <t>—</t>
        </is>
      </c>
      <c r="N19" s="2">
        <f>IFERROR(INDEX('CoQ Register'!$B:$B,MATCH("P050162|I",'CoQ Register'!$S:$S,0)),"—")</f>
        <v/>
      </c>
      <c r="O19" s="2" t="inlineStr">
        <is>
          <t>iCoA-PP-2025-0015</t>
        </is>
      </c>
      <c r="P19" s="2" t="inlineStr">
        <is>
          <t>P050162|I</t>
        </is>
      </c>
      <c r="Q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CJ052501/02</t>
        </is>
      </c>
      <c r="J20" s="2" t="inlineStr">
        <is>
          <t>P050172</t>
        </is>
      </c>
      <c r="K20" s="2" t="inlineStr">
        <is>
          <t>Cup Junky</t>
        </is>
      </c>
      <c r="L20" s="2" t="inlineStr">
        <is>
          <t>Ident A + Ident B + Foreign matter</t>
        </is>
      </c>
      <c r="M20" s="6" t="inlineStr">
        <is>
          <t>—</t>
        </is>
      </c>
      <c r="N20" s="2">
        <f>IFERROR(INDEX('CoQ Register'!$B:$B,MATCH("P050172|I",'CoQ Register'!$S:$S,0)),"—")</f>
        <v/>
      </c>
      <c r="O20" s="6" t="inlineStr">
        <is>
          <t>—</t>
        </is>
      </c>
      <c r="P20" s="2" t="inlineStr">
        <is>
          <t>P050172|I</t>
        </is>
      </c>
      <c r="Q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HPA052501</t>
        </is>
      </c>
      <c r="J21" s="2" t="inlineStr">
        <is>
          <t>P050182</t>
        </is>
      </c>
      <c r="K21" s="2" t="inlineStr">
        <is>
          <t>High Pro Amnesia</t>
        </is>
      </c>
      <c r="L21" s="2" t="inlineStr">
        <is>
          <t>Ident A + Ident B + Foreign matter</t>
        </is>
      </c>
      <c r="M21" s="6" t="inlineStr">
        <is>
          <t>—</t>
        </is>
      </c>
      <c r="N21" s="2">
        <f>IFERROR(INDEX('CoQ Register'!$B:$B,MATCH("P050182|I",'CoQ Register'!$S:$S,0)),"—")</f>
        <v/>
      </c>
      <c r="O21" s="2" t="inlineStr">
        <is>
          <t>iCoA-PP-2025-0016</t>
        </is>
      </c>
      <c r="P21" s="2" t="inlineStr">
        <is>
          <t>P050182|I</t>
        </is>
      </c>
      <c r="Q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BSS052501</t>
        </is>
      </c>
      <c r="J22" s="2" t="inlineStr">
        <is>
          <t>P050192</t>
        </is>
      </c>
      <c r="K22" s="2" t="inlineStr">
        <is>
          <t>Blue Sunset Sherbet</t>
        </is>
      </c>
      <c r="L22" s="2" t="inlineStr">
        <is>
          <t>Ident A + Ident B + #4 + #5 + Foreign matter + #8</t>
        </is>
      </c>
      <c r="M22" s="6" t="inlineStr">
        <is>
          <t>—</t>
        </is>
      </c>
      <c r="N22" s="2">
        <f>IFERROR(INDEX('CoQ Register'!$B:$B,MATCH("P050192|I",'CoQ Register'!$S:$S,0)),"—")</f>
        <v/>
      </c>
      <c r="O22" s="2" t="inlineStr">
        <is>
          <t>iCoA-PP-2025-0017</t>
        </is>
      </c>
      <c r="P22" s="2" t="inlineStr">
        <is>
          <t>P050192|I</t>
        </is>
      </c>
      <c r="Q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GP062501</t>
        </is>
      </c>
      <c r="J23" s="2" t="inlineStr">
        <is>
          <t>P050202</t>
        </is>
      </c>
      <c r="K23" s="2" t="inlineStr">
        <is>
          <t>Grape Pie</t>
        </is>
      </c>
      <c r="L23" s="2" t="inlineStr">
        <is>
          <t>Ident A + Ident B + #4 + #5 + Foreign matter + #8</t>
        </is>
      </c>
      <c r="M23" s="6" t="inlineStr">
        <is>
          <t>—</t>
        </is>
      </c>
      <c r="N23" s="2">
        <f>IFERROR(INDEX('CoQ Register'!$B:$B,MATCH("P050202|I",'CoQ Register'!$S:$S,0)),"—")</f>
        <v/>
      </c>
      <c r="O23" s="6" t="inlineStr">
        <is>
          <t>—</t>
        </is>
      </c>
      <c r="P23" s="2" t="inlineStr">
        <is>
          <t>P050202|I</t>
        </is>
      </c>
      <c r="Q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CJ062501/2</t>
        </is>
      </c>
      <c r="J24" s="2" t="inlineStr">
        <is>
          <t>P050212</t>
        </is>
      </c>
      <c r="K24" s="2" t="inlineStr">
        <is>
          <t>Cap Junkie</t>
        </is>
      </c>
      <c r="L24" s="2" t="inlineStr">
        <is>
          <t>Ident A + Ident B + Foreign matter</t>
        </is>
      </c>
      <c r="M24" s="6" t="inlineStr">
        <is>
          <t>—</t>
        </is>
      </c>
      <c r="N24" s="2">
        <f>IFERROR(INDEX('CoQ Register'!$B:$B,MATCH("P050212|I",'CoQ Register'!$S:$S,0)),"—")</f>
        <v/>
      </c>
      <c r="O24" s="6" t="inlineStr">
        <is>
          <t>—</t>
        </is>
      </c>
      <c r="P24" s="2" t="inlineStr">
        <is>
          <t>P050212|I</t>
        </is>
      </c>
      <c r="Q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CJ062501/1</t>
        </is>
      </c>
      <c r="J25" s="2" t="inlineStr">
        <is>
          <t>P050222</t>
        </is>
      </c>
      <c r="K25" s="2" t="inlineStr">
        <is>
          <t>Cap Junkie</t>
        </is>
      </c>
      <c r="L25" s="2" t="inlineStr">
        <is>
          <t>Ident A + Ident B + Foreign matter</t>
        </is>
      </c>
      <c r="M25" s="6" t="inlineStr">
        <is>
          <t>—</t>
        </is>
      </c>
      <c r="N25" s="2">
        <f>IFERROR(INDEX('CoQ Register'!$B:$B,MATCH("P050222|I",'CoQ Register'!$S:$S,0)),"—")</f>
        <v/>
      </c>
      <c r="O25" s="2" t="inlineStr">
        <is>
          <t>iCoA-PP-2025-0018</t>
        </is>
      </c>
      <c r="P25" s="2" t="inlineStr">
        <is>
          <t>P050222|I</t>
        </is>
      </c>
      <c r="Q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CJ072501</t>
        </is>
      </c>
      <c r="J26" s="2" t="inlineStr">
        <is>
          <t>P050252</t>
        </is>
      </c>
      <c r="K26" s="2" t="inlineStr">
        <is>
          <t>Cup Junky</t>
        </is>
      </c>
      <c r="L26" s="2" t="inlineStr">
        <is>
          <t>Ident A + Ident B + Foreign matter</t>
        </is>
      </c>
      <c r="M26" s="6" t="inlineStr">
        <is>
          <t>—</t>
        </is>
      </c>
      <c r="N26" s="2">
        <f>IFERROR(INDEX('CoQ Register'!$B:$B,MATCH("P050252|I",'CoQ Register'!$S:$S,0)),"—")</f>
        <v/>
      </c>
      <c r="O26" s="6" t="inlineStr">
        <is>
          <t>—</t>
        </is>
      </c>
      <c r="P26" s="2" t="inlineStr">
        <is>
          <t>P050252|I</t>
        </is>
      </c>
      <c r="Q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WC072501</t>
        </is>
      </c>
      <c r="J27" s="2" t="inlineStr">
        <is>
          <t>P050262</t>
        </is>
      </c>
      <c r="K27" s="2" t="inlineStr">
        <is>
          <t>Wedding Crasher</t>
        </is>
      </c>
      <c r="L27" s="2" t="inlineStr">
        <is>
          <t>Ident A + Ident B + Foreign matter</t>
        </is>
      </c>
      <c r="M27" s="6" t="inlineStr">
        <is>
          <t>—</t>
        </is>
      </c>
      <c r="N27" s="2">
        <f>IFERROR(INDEX('CoQ Register'!$B:$B,MATCH("P050262|I",'CoQ Register'!$S:$S,0)),"—")</f>
        <v/>
      </c>
      <c r="O27" s="6" t="inlineStr">
        <is>
          <t>—</t>
        </is>
      </c>
      <c r="P27" s="2" t="inlineStr">
        <is>
          <t>P050262|I</t>
        </is>
      </c>
      <c r="Q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PM072501</t>
        </is>
      </c>
      <c r="J28" s="2" t="inlineStr">
        <is>
          <t>P050272</t>
        </is>
      </c>
      <c r="K28" s="2" t="inlineStr">
        <is>
          <t>Permanent Market</t>
        </is>
      </c>
      <c r="L28" s="2" t="inlineStr">
        <is>
          <t>Ident A + Ident B + Foreign matter</t>
        </is>
      </c>
      <c r="M28" s="6" t="inlineStr">
        <is>
          <t>—</t>
        </is>
      </c>
      <c r="N28" s="2">
        <f>IFERROR(INDEX('CoQ Register'!$B:$B,MATCH("P050272|I",'CoQ Register'!$S:$S,0)),"—")</f>
        <v/>
      </c>
      <c r="O28" s="6" t="inlineStr">
        <is>
          <t>—</t>
        </is>
      </c>
      <c r="P28" s="2" t="inlineStr">
        <is>
          <t>P050272|I</t>
        </is>
      </c>
      <c r="Q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CLE072501</t>
        </is>
      </c>
      <c r="J29" s="2" t="inlineStr">
        <is>
          <t>P050282</t>
        </is>
      </c>
      <c r="K29" s="2" t="inlineStr">
        <is>
          <t>Clemosa a bud</t>
        </is>
      </c>
      <c r="L29" s="2" t="inlineStr">
        <is>
          <t>Ident A + Ident B + Foreign matter</t>
        </is>
      </c>
      <c r="M29" s="6" t="inlineStr">
        <is>
          <t>—</t>
        </is>
      </c>
      <c r="N29" s="2">
        <f>IFERROR(INDEX('CoQ Register'!$B:$B,MATCH("P050282|I",'CoQ Register'!$S:$S,0)),"—")</f>
        <v/>
      </c>
      <c r="O29" s="2" t="inlineStr">
        <is>
          <t>iCoA-PP-2025-0019</t>
        </is>
      </c>
      <c r="P29" s="2" t="inlineStr">
        <is>
          <t>P050282|I</t>
        </is>
      </c>
      <c r="Q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GP072501/1</t>
        </is>
      </c>
      <c r="J30" s="2" t="inlineStr">
        <is>
          <t>P050292</t>
        </is>
      </c>
      <c r="K30" s="2" t="inlineStr">
        <is>
          <t>Grape Pie</t>
        </is>
      </c>
      <c r="L30" s="2" t="inlineStr">
        <is>
          <t>Ident A + Ident B + Foreign matter</t>
        </is>
      </c>
      <c r="M30" s="6" t="inlineStr">
        <is>
          <t>—</t>
        </is>
      </c>
      <c r="N30" s="2">
        <f>IFERROR(INDEX('CoQ Register'!$B:$B,MATCH("P050292|I",'CoQ Register'!$S:$S,0)),"—")</f>
        <v/>
      </c>
      <c r="O30" s="6" t="inlineStr">
        <is>
          <t>—</t>
        </is>
      </c>
      <c r="P30" s="2" t="inlineStr">
        <is>
          <t>P050292|I</t>
        </is>
      </c>
      <c r="Q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GP072501/2</t>
        </is>
      </c>
      <c r="J31" s="2" t="inlineStr">
        <is>
          <t>P050302</t>
        </is>
      </c>
      <c r="K31" s="2" t="inlineStr">
        <is>
          <t>Grape Pie</t>
        </is>
      </c>
      <c r="L31" s="2" t="inlineStr">
        <is>
          <t>Ident A + Ident B + Foreign matter</t>
        </is>
      </c>
      <c r="M31" s="6" t="inlineStr">
        <is>
          <t>—</t>
        </is>
      </c>
      <c r="N31" s="2">
        <f>IFERROR(INDEX('CoQ Register'!$B:$B,MATCH("P050302|I",'CoQ Register'!$S:$S,0)),"—")</f>
        <v/>
      </c>
      <c r="O31" s="2" t="inlineStr">
        <is>
          <t>iCoA-PP-2025-0020</t>
        </is>
      </c>
      <c r="P31" s="2" t="inlineStr">
        <is>
          <t>P050302|I</t>
        </is>
      </c>
      <c r="Q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GP082501/1</t>
        </is>
      </c>
      <c r="J32" s="2" t="inlineStr">
        <is>
          <t>P050312</t>
        </is>
      </c>
      <c r="K32" s="2" t="inlineStr">
        <is>
          <t>Grape Pie</t>
        </is>
      </c>
      <c r="L32" s="2" t="inlineStr">
        <is>
          <t>Ident A + Ident B + Foreign matter</t>
        </is>
      </c>
      <c r="M32" s="6" t="inlineStr">
        <is>
          <t>—</t>
        </is>
      </c>
      <c r="N32" s="2">
        <f>IFERROR(INDEX('CoQ Register'!$B:$B,MATCH("P050312|I",'CoQ Register'!$S:$S,0)),"—")</f>
        <v/>
      </c>
      <c r="O32" s="2" t="inlineStr">
        <is>
          <t>iCoA-PP-2025-0021</t>
        </is>
      </c>
      <c r="P32" s="2" t="inlineStr">
        <is>
          <t>P050312|I</t>
        </is>
      </c>
      <c r="Q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GP082501/2</t>
        </is>
      </c>
      <c r="J33" s="2" t="inlineStr">
        <is>
          <t>P050322</t>
        </is>
      </c>
      <c r="K33" s="2" t="inlineStr">
        <is>
          <t>Grape Pie</t>
        </is>
      </c>
      <c r="L33" s="2" t="inlineStr">
        <is>
          <t>Ident A + Ident B + Foreign matter</t>
        </is>
      </c>
      <c r="M33" s="6" t="inlineStr">
        <is>
          <t>—</t>
        </is>
      </c>
      <c r="N33" s="2">
        <f>IFERROR(INDEX('CoQ Register'!$B:$B,MATCH("P050322|I",'CoQ Register'!$S:$S,0)),"—")</f>
        <v/>
      </c>
      <c r="O33" s="2" t="inlineStr">
        <is>
          <t>iCoA-PP-2025-0022</t>
        </is>
      </c>
      <c r="P33" s="2" t="inlineStr">
        <is>
          <t>P050322|I</t>
        </is>
      </c>
      <c r="Q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WC082501</t>
        </is>
      </c>
      <c r="J34" s="2" t="inlineStr">
        <is>
          <t>P060012</t>
        </is>
      </c>
      <c r="K34" s="2" t="inlineStr">
        <is>
          <t>Wedding Crasher</t>
        </is>
      </c>
      <c r="L34" s="2" t="inlineStr">
        <is>
          <t>Ident A + Ident B + Foreign matter</t>
        </is>
      </c>
      <c r="M34" s="6" t="inlineStr">
        <is>
          <t>—</t>
        </is>
      </c>
      <c r="N34" s="2">
        <f>IFERROR(INDEX('CoQ Register'!$B:$B,MATCH("P060012|I",'CoQ Register'!$S:$S,0)),"—")</f>
        <v/>
      </c>
      <c r="O34" s="2" t="inlineStr">
        <is>
          <t>iCoA-PP-2026-0001</t>
        </is>
      </c>
      <c r="P34" s="2" t="inlineStr">
        <is>
          <t>P060012|I</t>
        </is>
      </c>
      <c r="Q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CJ082501/1</t>
        </is>
      </c>
      <c r="J35" s="2" t="inlineStr">
        <is>
          <t>P060022</t>
        </is>
      </c>
      <c r="K35" s="2" t="inlineStr">
        <is>
          <t>Cap Junky</t>
        </is>
      </c>
      <c r="L35" s="2" t="inlineStr">
        <is>
          <t>Ident A + Ident B + Foreign matter</t>
        </is>
      </c>
      <c r="M35" s="6" t="inlineStr">
        <is>
          <t>—</t>
        </is>
      </c>
      <c r="N35" s="2">
        <f>IFERROR(INDEX('CoQ Register'!$B:$B,MATCH("P060022|I",'CoQ Register'!$S:$S,0)),"—")</f>
        <v/>
      </c>
      <c r="O35" s="2" t="inlineStr">
        <is>
          <t>iCoA-PP-2026-0002</t>
        </is>
      </c>
      <c r="P35" s="2" t="inlineStr">
        <is>
          <t>P060022|I</t>
        </is>
      </c>
      <c r="Q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CJ082501/2</t>
        </is>
      </c>
      <c r="J36" s="2" t="inlineStr">
        <is>
          <t>P060032</t>
        </is>
      </c>
      <c r="K36" s="2" t="inlineStr">
        <is>
          <t>Cap Junky</t>
        </is>
      </c>
      <c r="L36" s="2" t="inlineStr">
        <is>
          <t>Ident A + Ident B + Foreign matter</t>
        </is>
      </c>
      <c r="M36" s="6" t="inlineStr">
        <is>
          <t>—</t>
        </is>
      </c>
      <c r="N36" s="2">
        <f>IFERROR(INDEX('CoQ Register'!$B:$B,MATCH("P060032|I",'CoQ Register'!$S:$S,0)),"—")</f>
        <v/>
      </c>
      <c r="O36" s="2" t="inlineStr">
        <is>
          <t>iCoA-PP-2026-0003</t>
        </is>
      </c>
      <c r="P36" s="2" t="inlineStr">
        <is>
          <t>P060032|I</t>
        </is>
      </c>
      <c r="Q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OPM092501</t>
        </is>
      </c>
      <c r="J37" s="2" t="inlineStr">
        <is>
          <t>P060042</t>
        </is>
      </c>
      <c r="K37" s="2" t="inlineStr">
        <is>
          <t>Orange Punch Mimosa</t>
        </is>
      </c>
      <c r="L37" s="2" t="inlineStr">
        <is>
          <t>Ident A + Ident B + Foreign matter</t>
        </is>
      </c>
      <c r="M37" s="6" t="inlineStr">
        <is>
          <t>—</t>
        </is>
      </c>
      <c r="N37" s="2">
        <f>IFERROR(INDEX('CoQ Register'!$B:$B,MATCH("P060042|I",'CoQ Register'!$S:$S,0)),"—")</f>
        <v/>
      </c>
      <c r="O37" s="2" t="inlineStr">
        <is>
          <t>iCoA-PP-2026-0004</t>
        </is>
      </c>
      <c r="P37" s="2" t="inlineStr">
        <is>
          <t>P060042|I</t>
        </is>
      </c>
      <c r="Q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AB092501</t>
        </is>
      </c>
      <c r="J38" s="2" t="inlineStr">
        <is>
          <t>P060052</t>
        </is>
      </c>
      <c r="K38" s="2" t="inlineStr">
        <is>
          <t>Apple and Banana</t>
        </is>
      </c>
      <c r="L38" s="2" t="inlineStr">
        <is>
          <t>Ident A + Ident B + Foreign matter</t>
        </is>
      </c>
      <c r="M38" s="6" t="inlineStr">
        <is>
          <t>—</t>
        </is>
      </c>
      <c r="N38" s="2">
        <f>IFERROR(INDEX('CoQ Register'!$B:$B,MATCH("P060052|I",'CoQ Register'!$S:$S,0)),"—")</f>
        <v/>
      </c>
      <c r="O38" s="6" t="inlineStr">
        <is>
          <t>—</t>
        </is>
      </c>
      <c r="P38" s="2" t="inlineStr">
        <is>
          <t>P060052|I</t>
        </is>
      </c>
      <c r="Q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PM092501</t>
        </is>
      </c>
      <c r="J39" s="2" t="inlineStr">
        <is>
          <t>P060062</t>
        </is>
      </c>
      <c r="K39" s="2" t="inlineStr">
        <is>
          <t>Permanent Market</t>
        </is>
      </c>
      <c r="L39" s="2" t="inlineStr">
        <is>
          <t>Ident A + Ident B + Foreign matter</t>
        </is>
      </c>
      <c r="M39" s="6" t="inlineStr">
        <is>
          <t>—</t>
        </is>
      </c>
      <c r="N39" s="2">
        <f>IFERROR(INDEX('CoQ Register'!$B:$B,MATCH("P060062|I",'CoQ Register'!$S:$S,0)),"—")</f>
        <v/>
      </c>
      <c r="O39" s="2" t="inlineStr">
        <is>
          <t>iCoA-PP-2026-0005</t>
        </is>
      </c>
      <c r="P39" s="2" t="inlineStr">
        <is>
          <t>P060062|I</t>
        </is>
      </c>
      <c r="Q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CJ092501</t>
        </is>
      </c>
      <c r="J40" s="2" t="inlineStr">
        <is>
          <t>P060072</t>
        </is>
      </c>
      <c r="K40" s="2" t="inlineStr">
        <is>
          <t>Cap Junky</t>
        </is>
      </c>
      <c r="L40" s="2" t="inlineStr">
        <is>
          <t>Ident A + Ident B + Foreign matter</t>
        </is>
      </c>
      <c r="M40" s="6" t="inlineStr">
        <is>
          <t>—</t>
        </is>
      </c>
      <c r="N40" s="2">
        <f>IFERROR(INDEX('CoQ Register'!$B:$B,MATCH("P060072|I",'CoQ Register'!$S:$S,0)),"—")</f>
        <v/>
      </c>
      <c r="O40" s="2" t="inlineStr">
        <is>
          <t>iCoA-PP-2026-0006</t>
        </is>
      </c>
      <c r="P40" s="2" t="inlineStr">
        <is>
          <t>P060072|I</t>
        </is>
      </c>
      <c r="Q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SJ0925021</t>
        </is>
      </c>
      <c r="J41" s="2" t="inlineStr">
        <is>
          <t>P060082</t>
        </is>
      </c>
      <c r="K41" s="2" t="inlineStr">
        <is>
          <t>Sleepy Joy</t>
        </is>
      </c>
      <c r="L41" s="2" t="inlineStr">
        <is>
          <t>Ident A + Ident B + Foreign matter</t>
        </is>
      </c>
      <c r="M41" s="6" t="inlineStr">
        <is>
          <t>—</t>
        </is>
      </c>
      <c r="N41" s="2">
        <f>IFERROR(INDEX('CoQ Register'!$B:$B,MATCH("P060082|I",'CoQ Register'!$S:$S,0)),"—")</f>
        <v/>
      </c>
      <c r="O41" s="2" t="inlineStr">
        <is>
          <t>iCoA-PP-2026-0007</t>
        </is>
      </c>
      <c r="P41" s="2" t="inlineStr">
        <is>
          <t>P060082|I</t>
        </is>
      </c>
      <c r="Q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GP092501</t>
        </is>
      </c>
      <c r="J42" s="2" t="inlineStr">
        <is>
          <t>P060092</t>
        </is>
      </c>
      <c r="K42" s="2" t="inlineStr">
        <is>
          <t>Grape Pie</t>
        </is>
      </c>
      <c r="L42" s="2" t="inlineStr">
        <is>
          <t>Ident A + Ident B + Foreign matter</t>
        </is>
      </c>
      <c r="M42" s="6" t="inlineStr">
        <is>
          <t>—</t>
        </is>
      </c>
      <c r="N42" s="2">
        <f>IFERROR(INDEX('CoQ Register'!$B:$B,MATCH("P060092|I",'CoQ Register'!$S:$S,0)),"—")</f>
        <v/>
      </c>
      <c r="O42" s="2" t="inlineStr">
        <is>
          <t>iCoA-PP-2026-0008</t>
        </is>
      </c>
      <c r="P42" s="2" t="inlineStr">
        <is>
          <t>P060092|I</t>
        </is>
      </c>
      <c r="Q42" s="7" t="inlineStr">
        <is>
          <t>registered — initial release, issued 03.06.2026</t>
        </is>
      </c>
    </row>
    <row r="43">
      <c r="A43" s="2" t="n">
        <v>42</v>
      </c>
      <c r="B43" s="3" t="inlineStr">
        <is>
          <t>iCoA-PP_26-042</t>
        </is>
      </c>
      <c r="C43" s="4" t="inlineStr">
        <is>
          <t>yes</t>
        </is>
      </c>
      <c r="D43" s="5" t="n">
        <v>46176</v>
      </c>
      <c r="E43" s="5" t="n">
        <v>46086</v>
      </c>
      <c r="F43" s="5">
        <f>IFERROR(INDEX('Batch Dates'!$G:$G,MATCH(J43,'Batch Dates'!$C:$C,0)),IFERROR(INDEX('Batch Dates'!$G:$G,MATCH(I43,'Batch Dates'!$B:$B,0)),""))</f>
        <v/>
      </c>
      <c r="G43" s="2" t="inlineStr">
        <is>
          <t>legacy</t>
        </is>
      </c>
      <c r="H43" s="2" t="inlineStr">
        <is>
          <t>retest 2</t>
        </is>
      </c>
      <c r="I43" s="3" t="inlineStr">
        <is>
          <t>GP0824_02</t>
        </is>
      </c>
      <c r="J43" s="2" t="inlineStr">
        <is>
          <t>P050022</t>
        </is>
      </c>
      <c r="K43" s="2" t="inlineStr">
        <is>
          <t>Grape Pie</t>
        </is>
      </c>
      <c r="L43" s="2" t="inlineStr">
        <is>
          <t>Ident A + Ident B + Foreign matter</t>
        </is>
      </c>
      <c r="M43" s="6" t="inlineStr">
        <is>
          <t>—</t>
        </is>
      </c>
      <c r="N43" s="2">
        <f>IFERROR(INDEX('CoQ Register'!$B:$B,MATCH("P050022|R2",'CoQ Register'!$S:$S,0)),"—")</f>
        <v/>
      </c>
      <c r="O43" s="6" t="inlineStr">
        <is>
          <t>—</t>
        </is>
      </c>
      <c r="P43" s="2" t="inlineStr">
        <is>
          <t>P050022|R2</t>
        </is>
      </c>
      <c r="Q43" s="7" t="inlineStr">
        <is>
          <t>registered — retest 2, issued 03.06.2026</t>
        </is>
      </c>
    </row>
    <row r="44">
      <c r="A44" s="2" t="n">
        <v>43</v>
      </c>
      <c r="B44" s="3" t="inlineStr">
        <is>
          <t>iCoA-PP_26-043</t>
        </is>
      </c>
      <c r="C44" s="4" t="inlineStr">
        <is>
          <t>yes</t>
        </is>
      </c>
      <c r="D44" s="5" t="n">
        <v>46176</v>
      </c>
      <c r="E44" s="5" t="n">
        <v>46086</v>
      </c>
      <c r="F44" s="5">
        <f>IFERROR(INDEX('Batch Dates'!$G:$G,MATCH(J44,'Batch Dates'!$C:$C,0)),IFERROR(INDEX('Batch Dates'!$G:$G,MATCH(I44,'Batch Dates'!$B:$B,0)),""))</f>
        <v/>
      </c>
      <c r="G44" s="2" t="inlineStr">
        <is>
          <t>legacy</t>
        </is>
      </c>
      <c r="H44" s="2" t="inlineStr">
        <is>
          <t>retest 2</t>
        </is>
      </c>
      <c r="I44" s="3" t="inlineStr">
        <is>
          <t>GP0824_03</t>
        </is>
      </c>
      <c r="J44" s="2" t="inlineStr">
        <is>
          <t>P050072</t>
        </is>
      </c>
      <c r="K44" s="2" t="inlineStr">
        <is>
          <t>Grape Pie</t>
        </is>
      </c>
      <c r="L44" s="2" t="inlineStr">
        <is>
          <t>Ident A + Ident B + Foreign matter</t>
        </is>
      </c>
      <c r="M44" s="6" t="inlineStr">
        <is>
          <t>—</t>
        </is>
      </c>
      <c r="N44" s="2">
        <f>IFERROR(INDEX('CoQ Register'!$B:$B,MATCH("P050072|R2",'CoQ Register'!$S:$S,0)),"—")</f>
        <v/>
      </c>
      <c r="O44" s="6" t="inlineStr">
        <is>
          <t>—</t>
        </is>
      </c>
      <c r="P44" s="2" t="inlineStr">
        <is>
          <t>P050072|R2</t>
        </is>
      </c>
      <c r="Q44" s="7" t="inlineStr">
        <is>
          <t>registered — retest 2,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J31102501</t>
        </is>
      </c>
      <c r="J45" s="2" t="inlineStr">
        <is>
          <t>P060152</t>
        </is>
      </c>
      <c r="K45" s="2" t="inlineStr">
        <is>
          <t>Jokerz 31</t>
        </is>
      </c>
      <c r="L45" s="2" t="inlineStr">
        <is>
          <t>Ident A + Ident B + Foreign matter</t>
        </is>
      </c>
      <c r="M45" s="6" t="inlineStr">
        <is>
          <t>—</t>
        </is>
      </c>
      <c r="N45" s="2">
        <f>IFERROR(INDEX('CoQ Register'!$B:$B,MATCH("P060152|I",'CoQ Register'!$S:$S,0)),"—")</f>
        <v/>
      </c>
      <c r="O45" s="2" t="inlineStr">
        <is>
          <t>iCoA-PP-2026-0012</t>
        </is>
      </c>
      <c r="P45" s="2" t="inlineStr">
        <is>
          <t>P060152|I</t>
        </is>
      </c>
      <c r="Q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SJ102501</t>
        </is>
      </c>
      <c r="J46" s="2" t="inlineStr">
        <is>
          <t>P060162</t>
        </is>
      </c>
      <c r="K46" s="2" t="inlineStr">
        <is>
          <t>Sleepy Joy</t>
        </is>
      </c>
      <c r="L46" s="2" t="inlineStr">
        <is>
          <t>Ident A + Ident B + Foreign matter</t>
        </is>
      </c>
      <c r="M46" s="6" t="inlineStr">
        <is>
          <t>—</t>
        </is>
      </c>
      <c r="N46" s="2">
        <f>IFERROR(INDEX('CoQ Register'!$B:$B,MATCH("P060162|I",'CoQ Register'!$S:$S,0)),"—")</f>
        <v/>
      </c>
      <c r="O46" s="6" t="inlineStr">
        <is>
          <t>—</t>
        </is>
      </c>
      <c r="P46" s="2" t="inlineStr">
        <is>
          <t>P060162|I</t>
        </is>
      </c>
      <c r="Q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KC102501</t>
        </is>
      </c>
      <c r="J47" s="2" t="inlineStr">
        <is>
          <t>P060172</t>
        </is>
      </c>
      <c r="K47" s="2" t="inlineStr">
        <is>
          <t>Kush Crasher</t>
        </is>
      </c>
      <c r="L47" s="2" t="inlineStr">
        <is>
          <t>Ident A + Ident B + Foreign matter</t>
        </is>
      </c>
      <c r="M47" s="6" t="inlineStr">
        <is>
          <t>—</t>
        </is>
      </c>
      <c r="N47" s="2">
        <f>IFERROR(INDEX('CoQ Register'!$B:$B,MATCH("P060172|I",'CoQ Register'!$S:$S,0)),"—")</f>
        <v/>
      </c>
      <c r="O47" s="2" t="inlineStr">
        <is>
          <t>iCoA-PP-2026-0013</t>
        </is>
      </c>
      <c r="P47" s="2" t="inlineStr">
        <is>
          <t>P060172|I</t>
        </is>
      </c>
      <c r="Q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P060182</t>
        </is>
      </c>
      <c r="K48" s="2" t="inlineStr">
        <is>
          <t>Graps &amp; Creme</t>
        </is>
      </c>
      <c r="L48" s="2" t="inlineStr">
        <is>
          <t>Ident A + Ident B + Foreign matter</t>
        </is>
      </c>
      <c r="M48" s="6" t="inlineStr">
        <is>
          <t>—</t>
        </is>
      </c>
      <c r="N48" s="2">
        <f>IFERROR(INDEX('CoQ Register'!$B:$B,MATCH("P060182|I",'CoQ Register'!$S:$S,0)),"—")</f>
        <v/>
      </c>
      <c r="O48" s="2" t="inlineStr">
        <is>
          <t>iCoA-PP-2026-0014</t>
        </is>
      </c>
      <c r="P48" s="2" t="inlineStr">
        <is>
          <t>P060182|I</t>
        </is>
      </c>
      <c r="Q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SJ112501</t>
        </is>
      </c>
      <c r="J49" s="2" t="inlineStr">
        <is>
          <t>P060192</t>
        </is>
      </c>
      <c r="K49" s="2" t="inlineStr">
        <is>
          <t>Sleepy Joy</t>
        </is>
      </c>
      <c r="L49" s="2" t="inlineStr">
        <is>
          <t>Ident A + Ident B + Foreign matter</t>
        </is>
      </c>
      <c r="M49" s="6" t="inlineStr">
        <is>
          <t>—</t>
        </is>
      </c>
      <c r="N49" s="2">
        <f>IFERROR(INDEX('CoQ Register'!$B:$B,MATCH("P060192|I",'CoQ Register'!$S:$S,0)),"—")</f>
        <v/>
      </c>
      <c r="O49" s="6" t="inlineStr">
        <is>
          <t>—</t>
        </is>
      </c>
      <c r="P49" s="2" t="inlineStr">
        <is>
          <t>P060192|I</t>
        </is>
      </c>
      <c r="Q49" s="7" t="inlineStr">
        <is>
          <t>registered — initial release, issued 03.06.2026</t>
        </is>
      </c>
    </row>
    <row r="50">
      <c r="A50" s="2" t="n">
        <v>49</v>
      </c>
      <c r="B50" s="3" t="inlineStr">
        <is>
          <t>iCoA-PP_26-049</t>
        </is>
      </c>
      <c r="C50" s="4" t="inlineStr">
        <is>
          <t>yes</t>
        </is>
      </c>
      <c r="D50" s="5" t="n">
        <v>46176</v>
      </c>
      <c r="E50" s="5" t="n">
        <v>46121</v>
      </c>
      <c r="F50" s="5">
        <f>IFERROR(INDEX('Batch Dates'!$G:$G,MATCH(J50,'Batch Dates'!$C:$C,0)),IFERROR(INDEX('Batch Dates'!$G:$G,MATCH(I50,'Batch Dates'!$B:$B,0)),""))</f>
        <v/>
      </c>
      <c r="G50" s="2" t="inlineStr">
        <is>
          <t>legacy</t>
        </is>
      </c>
      <c r="H50" s="2" t="inlineStr">
        <is>
          <t>retest 1</t>
        </is>
      </c>
      <c r="I50" s="3" t="inlineStr">
        <is>
          <t>J31112501</t>
        </is>
      </c>
      <c r="J50" s="2" t="inlineStr">
        <is>
          <t>P060202</t>
        </is>
      </c>
      <c r="K50" s="2" t="inlineStr">
        <is>
          <t>Jokerz 31</t>
        </is>
      </c>
      <c r="L50" s="2" t="inlineStr">
        <is>
          <t>Ident A + Ident B + Foreign matter</t>
        </is>
      </c>
      <c r="M50" s="6" t="inlineStr">
        <is>
          <t>—</t>
        </is>
      </c>
      <c r="N50" s="2">
        <f>IFERROR(INDEX('CoQ Register'!$B:$B,MATCH("P060202|R",'CoQ Register'!$S:$S,0)),"—")</f>
        <v/>
      </c>
      <c r="O50" s="6" t="inlineStr">
        <is>
          <t>—</t>
        </is>
      </c>
      <c r="P50" s="2" t="inlineStr">
        <is>
          <t>P060202|R</t>
        </is>
      </c>
      <c r="Q50" s="7" t="inlineStr">
        <is>
          <t>registered — retest 1, issued 03.06.2026</t>
        </is>
      </c>
    </row>
    <row r="51">
      <c r="A51" s="2" t="n">
        <v>50</v>
      </c>
      <c r="B51" s="3" t="inlineStr">
        <is>
          <t>iCoA-PP_26-050</t>
        </is>
      </c>
      <c r="C51" s="4" t="inlineStr">
        <is>
          <t>yes</t>
        </is>
      </c>
      <c r="D51" s="5">
        <f>IF(A51="","",IF(ISNUMBER(E51),MAX(DATE(2026,6,3),E51),DATE(2026,6,3)))</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J31112501</t>
        </is>
      </c>
      <c r="J51" s="2" t="inlineStr">
        <is>
          <t>P060202</t>
        </is>
      </c>
      <c r="K51" s="2" t="inlineStr">
        <is>
          <t>Jokerz 31</t>
        </is>
      </c>
      <c r="L51" s="2" t="inlineStr">
        <is>
          <t>Ident A + Ident B + Foreign matter</t>
        </is>
      </c>
      <c r="M51" s="6" t="inlineStr">
        <is>
          <t>—</t>
        </is>
      </c>
      <c r="N51" s="2">
        <f>IFERROR(INDEX('CoQ Register'!$B:$B,MATCH("P060202|I",'CoQ Register'!$S:$S,0)),"—")</f>
        <v/>
      </c>
      <c r="O51" s="6" t="inlineStr">
        <is>
          <t>—</t>
        </is>
      </c>
      <c r="P51" s="2" t="inlineStr">
        <is>
          <t>P060202|I</t>
        </is>
      </c>
      <c r="Q51" s="7" t="inlineStr">
        <is>
          <t>registered — initial release, issued 03.06.2026</t>
        </is>
      </c>
    </row>
    <row r="52">
      <c r="A52" s="2" t="n">
        <v>51</v>
      </c>
      <c r="B52" s="3" t="inlineStr">
        <is>
          <t>iCoA-PP_26-051</t>
        </is>
      </c>
      <c r="C52" s="4" t="inlineStr">
        <is>
          <t>yes</t>
        </is>
      </c>
      <c r="D52" s="5">
        <f>IF(A52="","",IF(ISNUMBER(E52),MAX(DATE(2026,6,3),E52),DATE(2026,6,3)))</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JD112501</t>
        </is>
      </c>
      <c r="J52" s="2" t="inlineStr">
        <is>
          <t>P060212</t>
        </is>
      </c>
      <c r="K52" s="2" t="inlineStr">
        <is>
          <t>Jelly Donutz</t>
        </is>
      </c>
      <c r="L52" s="2" t="inlineStr">
        <is>
          <t>Ident A + Ident B + Foreign matter</t>
        </is>
      </c>
      <c r="M52" s="6" t="inlineStr">
        <is>
          <t>—</t>
        </is>
      </c>
      <c r="N52" s="2">
        <f>IFERROR(INDEX('CoQ Register'!$B:$B,MATCH("P060212|I",'CoQ Register'!$S:$S,0)),"—")</f>
        <v/>
      </c>
      <c r="O52" s="2" t="inlineStr">
        <is>
          <t>iCoA-PP-2026-0015</t>
        </is>
      </c>
      <c r="P52" s="2" t="inlineStr">
        <is>
          <t>P060212|I</t>
        </is>
      </c>
      <c r="Q52" s="7" t="inlineStr">
        <is>
          <t>registered — initial release, issued 03.06.2026</t>
        </is>
      </c>
    </row>
    <row r="53">
      <c r="A53" s="2" t="n">
        <v>52</v>
      </c>
      <c r="B53" s="3" t="inlineStr">
        <is>
          <t>iCoA-PP_26-052</t>
        </is>
      </c>
      <c r="C53" s="4" t="inlineStr">
        <is>
          <t>yes</t>
        </is>
      </c>
      <c r="D53" s="5">
        <f>IF(A53="","",IF(ISNUMBER(E53),MAX(DATE(2026,6,3),E53),DATE(2026,6,3)))</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OPM112501</t>
        </is>
      </c>
      <c r="J53" s="2" t="inlineStr">
        <is>
          <t>P060222</t>
        </is>
      </c>
      <c r="K53" s="2" t="inlineStr">
        <is>
          <t>Orange Punch Mimosa</t>
        </is>
      </c>
      <c r="L53" s="2" t="inlineStr">
        <is>
          <t>Ident A + Ident B + Foreign matter</t>
        </is>
      </c>
      <c r="M53" s="6" t="inlineStr">
        <is>
          <t>—</t>
        </is>
      </c>
      <c r="N53" s="2">
        <f>IFERROR(INDEX('CoQ Register'!$B:$B,MATCH("P060222|I",'CoQ Register'!$S:$S,0)),"—")</f>
        <v/>
      </c>
      <c r="O53" s="6" t="inlineStr">
        <is>
          <t>—</t>
        </is>
      </c>
      <c r="P53" s="2" t="inlineStr">
        <is>
          <t>P060222|I</t>
        </is>
      </c>
      <c r="Q53" s="7" t="inlineStr">
        <is>
          <t>registered — initial release,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PM112501</t>
        </is>
      </c>
      <c r="J54" s="2" t="inlineStr">
        <is>
          <t>P060232</t>
        </is>
      </c>
      <c r="K54" s="2" t="inlineStr">
        <is>
          <t>Permanent Market</t>
        </is>
      </c>
      <c r="L54" s="2" t="inlineStr">
        <is>
          <t>Ident A + Ident B + Foreign matter</t>
        </is>
      </c>
      <c r="M54" s="6" t="inlineStr">
        <is>
          <t>—</t>
        </is>
      </c>
      <c r="N54" s="2">
        <f>IFERROR(INDEX('CoQ Register'!$B:$B,MATCH("P060232|I",'CoQ Register'!$S:$S,0)),"—")</f>
        <v/>
      </c>
      <c r="O54" s="2" t="inlineStr">
        <is>
          <t>iCoA-PP-2026-0016</t>
        </is>
      </c>
      <c r="P54" s="2" t="inlineStr">
        <is>
          <t>P060232|I</t>
        </is>
      </c>
      <c r="Q54" s="7" t="inlineStr">
        <is>
          <t>registered — initial release, issued 03.06.2026</t>
        </is>
      </c>
    </row>
    <row r="55">
      <c r="A55" s="2" t="n">
        <v>54</v>
      </c>
      <c r="B55" s="3" t="inlineStr">
        <is>
          <t>iCoA-PP_26-054</t>
        </is>
      </c>
      <c r="C55" s="4" t="inlineStr">
        <is>
          <t>yes</t>
        </is>
      </c>
      <c r="D55" s="5">
        <f>IF(A55="","",IF(ISNUMBER(E55),MAX(DATE(2026,6,3),E55),DATE(2026,6,3)))</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OPM122501</t>
        </is>
      </c>
      <c r="J55" s="2" t="inlineStr">
        <is>
          <t>P060242</t>
        </is>
      </c>
      <c r="K55" s="2" t="inlineStr">
        <is>
          <t>Orange Punch Mimosa</t>
        </is>
      </c>
      <c r="L55" s="2" t="inlineStr">
        <is>
          <t>Ident A + Ident B + Foreign matter</t>
        </is>
      </c>
      <c r="M55" s="6" t="inlineStr">
        <is>
          <t>—</t>
        </is>
      </c>
      <c r="N55" s="2">
        <f>IFERROR(INDEX('CoQ Register'!$B:$B,MATCH("P060242|I",'CoQ Register'!$S:$S,0)),"—")</f>
        <v/>
      </c>
      <c r="O55" s="2" t="inlineStr">
        <is>
          <t>iCoA-PP-2026-0017</t>
        </is>
      </c>
      <c r="P55" s="2" t="inlineStr">
        <is>
          <t>P060242|I</t>
        </is>
      </c>
      <c r="Q55" s="7" t="inlineStr">
        <is>
          <t>registered — initial release,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GG112501</t>
        </is>
      </c>
      <c r="J56" s="2" t="inlineStr">
        <is>
          <t>P060252</t>
        </is>
      </c>
      <c r="K56" s="2" t="inlineStr">
        <is>
          <t>Gorilla Glue</t>
        </is>
      </c>
      <c r="L56" s="2" t="inlineStr">
        <is>
          <t>Ident A + Ident B + Foreign matter</t>
        </is>
      </c>
      <c r="M56" s="6" t="inlineStr">
        <is>
          <t>—</t>
        </is>
      </c>
      <c r="N56" s="2">
        <f>IFERROR(INDEX('CoQ Register'!$B:$B,MATCH("P060252|I",'CoQ Register'!$S:$S,0)),"—")</f>
        <v/>
      </c>
      <c r="O56" s="6" t="inlineStr">
        <is>
          <t>—</t>
        </is>
      </c>
      <c r="P56" s="2" t="inlineStr">
        <is>
          <t>P060252|I</t>
        </is>
      </c>
      <c r="Q56" s="7" t="inlineStr">
        <is>
          <t>registered — initial release, issued 03.06.2026</t>
        </is>
      </c>
    </row>
    <row r="57">
      <c r="A57" s="2" t="n">
        <v>56</v>
      </c>
      <c r="B57" s="3" t="inlineStr">
        <is>
          <t>iCoA-PP_26-056</t>
        </is>
      </c>
      <c r="C57" s="4" t="inlineStr">
        <is>
          <t>yes</t>
        </is>
      </c>
      <c r="D57" s="5" t="n">
        <v>46176</v>
      </c>
      <c r="E57" s="5" t="n">
        <v>46153</v>
      </c>
      <c r="F57" s="5">
        <f>IFERROR(INDEX('Batch Dates'!$G:$G,MATCH(J57,'Batch Dates'!$C:$C,0)),IFERROR(INDEX('Batch Dates'!$G:$G,MATCH(I57,'Batch Dates'!$B:$B,0)),""))</f>
        <v/>
      </c>
      <c r="G57" s="2" t="inlineStr">
        <is>
          <t>legacy</t>
        </is>
      </c>
      <c r="H57" s="2" t="inlineStr">
        <is>
          <t>retest 1</t>
        </is>
      </c>
      <c r="I57" s="3" t="inlineStr">
        <is>
          <t>GP062501</t>
        </is>
      </c>
      <c r="J57" s="2" t="inlineStr">
        <is>
          <t>P050202</t>
        </is>
      </c>
      <c r="K57" s="2" t="inlineStr">
        <is>
          <t>Grape Pie</t>
        </is>
      </c>
      <c r="L57" s="2" t="inlineStr">
        <is>
          <t>Ident A + Ident B + Foreign matter</t>
        </is>
      </c>
      <c r="M57" s="6" t="inlineStr">
        <is>
          <t>—</t>
        </is>
      </c>
      <c r="N57" s="2">
        <f>IFERROR(INDEX('CoQ Register'!$B:$B,MATCH("P050202|R",'CoQ Register'!$S:$S,0)),"—")</f>
        <v/>
      </c>
      <c r="O57" s="6" t="inlineStr">
        <is>
          <t>—</t>
        </is>
      </c>
      <c r="P57" s="2" t="inlineStr">
        <is>
          <t>P050202|R</t>
        </is>
      </c>
      <c r="Q57" s="7" t="inlineStr">
        <is>
          <t>registered — retest 1, issued 03.06.2026</t>
        </is>
      </c>
    </row>
    <row r="58">
      <c r="A58" s="2" t="n">
        <v>57</v>
      </c>
      <c r="B58" s="3" t="inlineStr">
        <is>
          <t>iCoA-PP_26-057</t>
        </is>
      </c>
      <c r="C58" s="4" t="inlineStr">
        <is>
          <t>yes</t>
        </is>
      </c>
      <c r="D58" s="5" t="n">
        <v>46176</v>
      </c>
      <c r="E58" s="5" t="n">
        <v>46153</v>
      </c>
      <c r="F58" s="5">
        <f>IFERROR(INDEX('Batch Dates'!$G:$G,MATCH(J58,'Batch Dates'!$C:$C,0)),IFERROR(INDEX('Batch Dates'!$G:$G,MATCH(I58,'Batch Dates'!$B:$B,0)),""))</f>
        <v/>
      </c>
      <c r="G58" s="2" t="inlineStr">
        <is>
          <t>legacy</t>
        </is>
      </c>
      <c r="H58" s="2" t="inlineStr">
        <is>
          <t>retest 2</t>
        </is>
      </c>
      <c r="I58" s="3" t="inlineStr">
        <is>
          <t>GP062501</t>
        </is>
      </c>
      <c r="J58" s="2" t="inlineStr">
        <is>
          <t>P050202</t>
        </is>
      </c>
      <c r="K58" s="2" t="inlineStr">
        <is>
          <t>Grape Pie</t>
        </is>
      </c>
      <c r="L58" s="2" t="inlineStr">
        <is>
          <t>Ident A + Ident B + Foreign matter</t>
        </is>
      </c>
      <c r="M58" s="6" t="inlineStr">
        <is>
          <t>—</t>
        </is>
      </c>
      <c r="N58" s="2">
        <f>IFERROR(INDEX('CoQ Register'!$B:$B,MATCH("P050202|R2",'CoQ Register'!$S:$S,0)),"—")</f>
        <v/>
      </c>
      <c r="O58" s="6" t="inlineStr">
        <is>
          <t>—</t>
        </is>
      </c>
      <c r="P58" s="2" t="inlineStr">
        <is>
          <t>P050202|R2</t>
        </is>
      </c>
      <c r="Q58" s="7" t="inlineStr">
        <is>
          <t>registered — retest 2, issued 03.06.2026</t>
        </is>
      </c>
    </row>
    <row r="59">
      <c r="A59" s="2" t="n">
        <v>58</v>
      </c>
      <c r="B59" s="3" t="inlineStr">
        <is>
          <t>iCoA-PP_26-058</t>
        </is>
      </c>
      <c r="C59" s="4" t="inlineStr">
        <is>
          <t>yes</t>
        </is>
      </c>
      <c r="D59" s="5" t="n">
        <v>46176</v>
      </c>
      <c r="E59" s="5" t="n">
        <v>46153</v>
      </c>
      <c r="F59" s="5">
        <f>IFERROR(INDEX('Batch Dates'!$G:$G,MATCH(J59,'Batch Dates'!$C:$C,0)),IFERROR(INDEX('Batch Dates'!$G:$G,MATCH(I59,'Batch Dates'!$B:$B,0)),""))</f>
        <v/>
      </c>
      <c r="G59" s="2" t="inlineStr">
        <is>
          <t>legacy</t>
        </is>
      </c>
      <c r="H59" s="2" t="inlineStr">
        <is>
          <t>retest 3</t>
        </is>
      </c>
      <c r="I59" s="3" t="inlineStr">
        <is>
          <t>GP062501</t>
        </is>
      </c>
      <c r="J59" s="2" t="inlineStr">
        <is>
          <t>P050202</t>
        </is>
      </c>
      <c r="K59" s="2" t="inlineStr">
        <is>
          <t>Grape Pie</t>
        </is>
      </c>
      <c r="L59" s="2" t="inlineStr">
        <is>
          <t>Ident A + Ident B + Foreign matter</t>
        </is>
      </c>
      <c r="M59" s="6" t="inlineStr">
        <is>
          <t>—</t>
        </is>
      </c>
      <c r="N59" s="2">
        <f>IFERROR(INDEX('CoQ Register'!$B:$B,MATCH("P050202|R3",'CoQ Register'!$S:$S,0)),"—")</f>
        <v/>
      </c>
      <c r="O59" s="6" t="inlineStr">
        <is>
          <t>—</t>
        </is>
      </c>
      <c r="P59" s="2" t="inlineStr">
        <is>
          <t>P050202|R3</t>
        </is>
      </c>
      <c r="Q59" s="7" t="inlineStr">
        <is>
          <t>registered — retest 3, issued 03.06.2026</t>
        </is>
      </c>
    </row>
    <row r="60">
      <c r="A60" s="2" t="n">
        <v>59</v>
      </c>
      <c r="B60" s="3" t="inlineStr">
        <is>
          <t>iCoA-PP_26-059</t>
        </is>
      </c>
      <c r="C60" s="4" t="inlineStr">
        <is>
          <t>yes</t>
        </is>
      </c>
      <c r="D60" s="5" t="n">
        <v>46176</v>
      </c>
      <c r="E60" s="5" t="n">
        <v>46153</v>
      </c>
      <c r="F60" s="5">
        <f>IFERROR(INDEX('Batch Dates'!$G:$G,MATCH(J60,'Batch Dates'!$C:$C,0)),IFERROR(INDEX('Batch Dates'!$G:$G,MATCH(I60,'Batch Dates'!$B:$B,0)),""))</f>
        <v/>
      </c>
      <c r="G60" s="2" t="inlineStr">
        <is>
          <t>legacy</t>
        </is>
      </c>
      <c r="H60" s="2" t="inlineStr">
        <is>
          <t>retest 4</t>
        </is>
      </c>
      <c r="I60" s="3" t="inlineStr">
        <is>
          <t>GP062501</t>
        </is>
      </c>
      <c r="J60" s="2" t="inlineStr">
        <is>
          <t>P050202</t>
        </is>
      </c>
      <c r="K60" s="2" t="inlineStr">
        <is>
          <t>Grape Pie</t>
        </is>
      </c>
      <c r="L60" s="2" t="inlineStr">
        <is>
          <t>Ident A + Ident B + Foreign matter</t>
        </is>
      </c>
      <c r="M60" s="6" t="inlineStr">
        <is>
          <t>—</t>
        </is>
      </c>
      <c r="N60" s="2">
        <f>IFERROR(INDEX('CoQ Register'!$B:$B,MATCH("P050202|R4",'CoQ Register'!$S:$S,0)),"—")</f>
        <v/>
      </c>
      <c r="O60" s="6" t="inlineStr">
        <is>
          <t>—</t>
        </is>
      </c>
      <c r="P60" s="2" t="inlineStr">
        <is>
          <t>P050202|R4</t>
        </is>
      </c>
      <c r="Q60" s="7" t="inlineStr">
        <is>
          <t>registered — retest 4, issued 03.06.2026</t>
        </is>
      </c>
    </row>
    <row r="61">
      <c r="A61" s="2" t="n">
        <v>60</v>
      </c>
      <c r="B61" s="3" t="inlineStr">
        <is>
          <t>iCoA-PP_26-060</t>
        </is>
      </c>
      <c r="C61" s="4" t="inlineStr">
        <is>
          <t>yes</t>
        </is>
      </c>
      <c r="D61" s="5" t="n">
        <v>46176</v>
      </c>
      <c r="E61" s="5" t="n">
        <v>46153</v>
      </c>
      <c r="F61" s="5">
        <f>IFERROR(INDEX('Batch Dates'!$G:$G,MATCH(J61,'Batch Dates'!$C:$C,0)),IFERROR(INDEX('Batch Dates'!$G:$G,MATCH(I61,'Batch Dates'!$B:$B,0)),""))</f>
        <v/>
      </c>
      <c r="G61" s="2" t="inlineStr">
        <is>
          <t>legacy</t>
        </is>
      </c>
      <c r="H61" s="2" t="inlineStr">
        <is>
          <t>retest 3</t>
        </is>
      </c>
      <c r="I61" s="3" t="inlineStr">
        <is>
          <t>GP0824_02</t>
        </is>
      </c>
      <c r="J61" s="2" t="inlineStr">
        <is>
          <t>P050022</t>
        </is>
      </c>
      <c r="K61" s="2" t="inlineStr">
        <is>
          <t>Grape Pie</t>
        </is>
      </c>
      <c r="L61" s="2" t="inlineStr">
        <is>
          <t>Ident A + Ident B + Foreign matter</t>
        </is>
      </c>
      <c r="M61" s="6" t="inlineStr">
        <is>
          <t>—</t>
        </is>
      </c>
      <c r="N61" s="2">
        <f>IFERROR(INDEX('CoQ Register'!$B:$B,MATCH("P050022|R3",'CoQ Register'!$S:$S,0)),"—")</f>
        <v/>
      </c>
      <c r="O61" s="6" t="inlineStr">
        <is>
          <t>—</t>
        </is>
      </c>
      <c r="P61" s="2" t="inlineStr">
        <is>
          <t>P050022|R3</t>
        </is>
      </c>
      <c r="Q61" s="7" t="inlineStr">
        <is>
          <t>registered — retest 3, issued 03.06.2026</t>
        </is>
      </c>
    </row>
    <row r="62">
      <c r="A62" s="2" t="n">
        <v>61</v>
      </c>
      <c r="B62" s="3" t="inlineStr">
        <is>
          <t>iCoA-PP_26-061</t>
        </is>
      </c>
      <c r="C62" s="4" t="inlineStr">
        <is>
          <t>yes</t>
        </is>
      </c>
      <c r="D62" s="5" t="n">
        <v>46176</v>
      </c>
      <c r="E62" s="5" t="n">
        <v>46153</v>
      </c>
      <c r="F62" s="5">
        <f>IFERROR(INDEX('Batch Dates'!$G:$G,MATCH(J62,'Batch Dates'!$C:$C,0)),IFERROR(INDEX('Batch Dates'!$G:$G,MATCH(I62,'Batch Dates'!$B:$B,0)),""))</f>
        <v/>
      </c>
      <c r="G62" s="2" t="inlineStr">
        <is>
          <t>legacy</t>
        </is>
      </c>
      <c r="H62" s="2" t="inlineStr">
        <is>
          <t>retest 1</t>
        </is>
      </c>
      <c r="I62" s="3" t="inlineStr">
        <is>
          <t>GP0824_03</t>
        </is>
      </c>
      <c r="J62" s="2" t="inlineStr">
        <is>
          <t>P050072</t>
        </is>
      </c>
      <c r="K62" s="2" t="inlineStr">
        <is>
          <t>Grape Pie</t>
        </is>
      </c>
      <c r="L62" s="2" t="inlineStr">
        <is>
          <t>Ident A + Ident B + Foreign matter</t>
        </is>
      </c>
      <c r="M62" s="6" t="inlineStr">
        <is>
          <t>—</t>
        </is>
      </c>
      <c r="N62" s="2">
        <f>IFERROR(INDEX('CoQ Register'!$B:$B,MATCH("P050072|R",'CoQ Register'!$S:$S,0)),"—")</f>
        <v/>
      </c>
      <c r="O62" s="6" t="inlineStr">
        <is>
          <t>—</t>
        </is>
      </c>
      <c r="P62" s="2" t="inlineStr">
        <is>
          <t>P050072|R</t>
        </is>
      </c>
      <c r="Q62" s="7" t="inlineStr">
        <is>
          <t>registered — retest 1, issued 03.06.2026</t>
        </is>
      </c>
    </row>
    <row r="63">
      <c r="A63" s="2" t="n">
        <v>62</v>
      </c>
      <c r="B63" s="3" t="inlineStr">
        <is>
          <t>iCoA-PP_26-062</t>
        </is>
      </c>
      <c r="C63" s="4" t="inlineStr">
        <is>
          <t>yes</t>
        </is>
      </c>
      <c r="D63" s="5" t="n">
        <v>46176</v>
      </c>
      <c r="E63" s="5" t="n">
        <v>46153</v>
      </c>
      <c r="F63" s="5">
        <f>IFERROR(INDEX('Batch Dates'!$G:$G,MATCH(J63,'Batch Dates'!$C:$C,0)),IFERROR(INDEX('Batch Dates'!$G:$G,MATCH(I63,'Batch Dates'!$B:$B,0)),""))</f>
        <v/>
      </c>
      <c r="G63" s="2" t="inlineStr">
        <is>
          <t>legacy</t>
        </is>
      </c>
      <c r="H63" s="2" t="inlineStr">
        <is>
          <t>retest 3</t>
        </is>
      </c>
      <c r="I63" s="3" t="inlineStr">
        <is>
          <t>GP0824_03</t>
        </is>
      </c>
      <c r="J63" s="2" t="inlineStr">
        <is>
          <t>P050072</t>
        </is>
      </c>
      <c r="K63" s="2" t="inlineStr">
        <is>
          <t>Grape Pie</t>
        </is>
      </c>
      <c r="L63" s="2" t="inlineStr">
        <is>
          <t>Ident A + Ident B + Foreign matter</t>
        </is>
      </c>
      <c r="M63" s="6" t="inlineStr">
        <is>
          <t>—</t>
        </is>
      </c>
      <c r="N63" s="2">
        <f>IFERROR(INDEX('CoQ Register'!$B:$B,MATCH("P050072|R3",'CoQ Register'!$S:$S,0)),"—")</f>
        <v/>
      </c>
      <c r="O63" s="6" t="inlineStr">
        <is>
          <t>—</t>
        </is>
      </c>
      <c r="P63" s="2" t="inlineStr">
        <is>
          <t>P050072|R3</t>
        </is>
      </c>
      <c r="Q63" s="7" t="inlineStr">
        <is>
          <t>registered — retest 3,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J31122501</t>
        </is>
      </c>
      <c r="J64" s="2" t="inlineStr">
        <is>
          <t>P060262</t>
        </is>
      </c>
      <c r="K64" s="2" t="inlineStr">
        <is>
          <t>Jokerz 31</t>
        </is>
      </c>
      <c r="L64" s="2" t="inlineStr">
        <is>
          <t>Ident A + Ident B + Foreign matter</t>
        </is>
      </c>
      <c r="M64" s="6" t="inlineStr">
        <is>
          <t>—</t>
        </is>
      </c>
      <c r="N64" s="2">
        <f>IFERROR(INDEX('CoQ Register'!$B:$B,MATCH("P060262|I",'CoQ Register'!$S:$S,0)),"—")</f>
        <v/>
      </c>
      <c r="O64" s="6" t="inlineStr">
        <is>
          <t>—</t>
        </is>
      </c>
      <c r="P64" s="2" t="inlineStr">
        <is>
          <t>P060262|I</t>
        </is>
      </c>
      <c r="Q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CC112501</t>
        </is>
      </c>
      <c r="J65" s="2" t="inlineStr">
        <is>
          <t>P060272</t>
        </is>
      </c>
      <c r="K65" s="2" t="inlineStr">
        <is>
          <t>Cash Cow</t>
        </is>
      </c>
      <c r="L65" s="2" t="inlineStr">
        <is>
          <t>Ident A + Ident B + Foreign matter</t>
        </is>
      </c>
      <c r="M65" s="6" t="inlineStr">
        <is>
          <t>—</t>
        </is>
      </c>
      <c r="N65" s="2">
        <f>IFERROR(INDEX('CoQ Register'!$B:$B,MATCH("P060272|I",'CoQ Register'!$S:$S,0)),"—")</f>
        <v/>
      </c>
      <c r="O65" s="6" t="inlineStr">
        <is>
          <t>—</t>
        </is>
      </c>
      <c r="P65" s="2" t="inlineStr">
        <is>
          <t>P060272|I</t>
        </is>
      </c>
      <c r="Q65" s="7" t="inlineStr">
        <is>
          <t>registered — initial release, issued 03.06.2026</t>
        </is>
      </c>
    </row>
    <row r="66">
      <c r="A66" s="2" t="n">
        <v>65</v>
      </c>
      <c r="B66" s="3" t="inlineStr">
        <is>
          <t>iCoA-PP_26-065</t>
        </is>
      </c>
      <c r="C66" s="4" t="inlineStr">
        <is>
          <t>yes</t>
        </is>
      </c>
      <c r="D66" s="5">
        <f>IF(A66="","",IF(ISNUMBER(E66),MAX(DATE(2026,6,3),E66),DATE(2026,6,3)))</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SCR112501</t>
        </is>
      </c>
      <c r="J66" s="2" t="inlineStr">
        <is>
          <t>P060282</t>
        </is>
      </c>
      <c r="K66" s="2" t="inlineStr">
        <is>
          <t>Scrambler</t>
        </is>
      </c>
      <c r="L66" s="2" t="inlineStr">
        <is>
          <t>Ident A + Ident B + Foreign matter</t>
        </is>
      </c>
      <c r="M66" s="6" t="inlineStr">
        <is>
          <t>—</t>
        </is>
      </c>
      <c r="N66" s="2">
        <f>IFERROR(INDEX('CoQ Register'!$B:$B,MATCH("P060282|I",'CoQ Register'!$S:$S,0)),"—")</f>
        <v/>
      </c>
      <c r="O66" s="2" t="inlineStr">
        <is>
          <t>iCoA-PP-2026-0018</t>
        </is>
      </c>
      <c r="P66" s="2" t="inlineStr">
        <is>
          <t>P060282|I</t>
        </is>
      </c>
      <c r="Q66" s="7" t="inlineStr">
        <is>
          <t>registered — initial release, issued 03.06.2026</t>
        </is>
      </c>
    </row>
    <row r="67">
      <c r="A67" s="2" t="n">
        <v>66</v>
      </c>
      <c r="B67" s="3" t="inlineStr">
        <is>
          <t>iCoA-PP_26-066</t>
        </is>
      </c>
      <c r="C67" s="4" t="inlineStr">
        <is>
          <t>yes</t>
        </is>
      </c>
      <c r="D67" s="5">
        <f>IF(A67="","",IF(ISNUMBER(E67),MAX(DATE(2026,6,3),E67),DATE(2026,6,3)))</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FB112501</t>
        </is>
      </c>
      <c r="J67" s="2" t="inlineStr">
        <is>
          <t>P060292</t>
        </is>
      </c>
      <c r="K67" s="2" t="inlineStr">
        <is>
          <t>Fat Bastard</t>
        </is>
      </c>
      <c r="L67" s="2" t="inlineStr">
        <is>
          <t>Ident A + Ident B + Foreign matter</t>
        </is>
      </c>
      <c r="M67" s="6" t="inlineStr">
        <is>
          <t>—</t>
        </is>
      </c>
      <c r="N67" s="2">
        <f>IFERROR(INDEX('CoQ Register'!$B:$B,MATCH("P060292|I",'CoQ Register'!$S:$S,0)),"—")</f>
        <v/>
      </c>
      <c r="O67" s="6" t="inlineStr">
        <is>
          <t>—</t>
        </is>
      </c>
      <c r="P67" s="2" t="inlineStr">
        <is>
          <t>P060292|I</t>
        </is>
      </c>
      <c r="Q67" s="7" t="inlineStr">
        <is>
          <t>registered — initial release, issued 03.06.2026</t>
        </is>
      </c>
    </row>
    <row r="68">
      <c r="A68" s="2" t="n">
        <v>67</v>
      </c>
      <c r="B68" s="3" t="inlineStr">
        <is>
          <t>iCoA-PP_26-067</t>
        </is>
      </c>
      <c r="C68" s="4" t="inlineStr">
        <is>
          <t>yes</t>
        </is>
      </c>
      <c r="D68" s="5">
        <f>IF(A68="","",IF(ISNUMBER(E68),MAX(DATE(2026,6,3),E68),DATE(2026,6,3)))</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initial release, issued 03.06.2026</t>
        </is>
      </c>
    </row>
    <row r="69">
      <c r="A69" s="2" t="n">
        <v>68</v>
      </c>
      <c r="B69" s="3" t="inlineStr">
        <is>
          <t>iCoA-PP_26-068</t>
        </is>
      </c>
      <c r="C69" s="4" t="inlineStr">
        <is>
          <t>yes</t>
        </is>
      </c>
      <c r="D69" s="5">
        <f>IF(A69="","",IF(ISNUMBER(E69),MAX(DATE(2026,6,3),E69),DATE(2026,6,3)))</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CC012601/1</t>
        </is>
      </c>
      <c r="J69" s="2" t="inlineStr">
        <is>
          <t>P060332</t>
        </is>
      </c>
      <c r="K69" s="2" t="inlineStr">
        <is>
          <t>CashCow</t>
        </is>
      </c>
      <c r="L69" s="2" t="inlineStr">
        <is>
          <t>Ident A + Ident B + Foreign matter</t>
        </is>
      </c>
      <c r="M69" s="6" t="inlineStr">
        <is>
          <t>—</t>
        </is>
      </c>
      <c r="N69" s="2">
        <f>IFERROR(INDEX('CoQ Register'!$B:$B,MATCH("P060332|I",'CoQ Register'!$S:$S,0)),"—")</f>
        <v/>
      </c>
      <c r="O69" s="6" t="inlineStr">
        <is>
          <t>—</t>
        </is>
      </c>
      <c r="P69" s="2" t="inlineStr">
        <is>
          <t>P060332|I</t>
        </is>
      </c>
      <c r="Q69" s="7" t="inlineStr">
        <is>
          <t>registered — initial release, issued 03.06.2026</t>
        </is>
      </c>
    </row>
    <row r="70">
      <c r="A70" s="2" t="n">
        <v>69</v>
      </c>
      <c r="B70" s="3" t="inlineStr">
        <is>
          <t>iCoA-PP_26-069</t>
        </is>
      </c>
      <c r="C70" s="4" t="inlineStr">
        <is>
          <t>yes</t>
        </is>
      </c>
      <c r="D70" s="5">
        <f>IF(A70="","",IF(ISNUMBER(E70),MAX(DATE(2026,6,3),E70),DATE(2026,6,3)))</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FB012603V</t>
        </is>
      </c>
      <c r="J70" s="2" t="inlineStr">
        <is>
          <t>P060392</t>
        </is>
      </c>
      <c r="K70" s="2" t="inlineStr">
        <is>
          <t>FatBastard</t>
        </is>
      </c>
      <c r="L70" s="2" t="inlineStr">
        <is>
          <t>Ident A + Ident B + Foreign matter</t>
        </is>
      </c>
      <c r="M70" s="2" t="inlineStr">
        <is>
          <t>A: ППК26110 / B: ППК26110 / FM: ППК26110</t>
        </is>
      </c>
      <c r="N70" s="2">
        <f>IFERROR(INDEX('CoQ Register'!$B:$B,MATCH("P060392|I",'CoQ Register'!$S:$S,0)),"—")</f>
        <v/>
      </c>
      <c r="O70" s="6" t="inlineStr">
        <is>
          <t>—</t>
        </is>
      </c>
      <c r="P70" s="2" t="inlineStr">
        <is>
          <t>P060392|I</t>
        </is>
      </c>
      <c r="Q70" s="7" t="inlineStr">
        <is>
          <t>registered — initial release, issued 03.06.2026</t>
        </is>
      </c>
    </row>
    <row r="71">
      <c r="A71" s="2" t="n">
        <v>70</v>
      </c>
      <c r="B71" s="3" t="inlineStr">
        <is>
          <t>iCoA-PP_26-070</t>
        </is>
      </c>
      <c r="C71" s="4" t="inlineStr">
        <is>
          <t>yes</t>
        </is>
      </c>
      <c r="D71" s="5">
        <f>IF(A71="","",IF(ISNUMBER(E71),MAX(DATE(2026,6,3),E71),DATE(2026,6,3)))</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JD012603</t>
        </is>
      </c>
      <c r="J71" s="2" t="inlineStr">
        <is>
          <t>P060422</t>
        </is>
      </c>
      <c r="K71" s="2" t="inlineStr">
        <is>
          <t>JellyDonutz</t>
        </is>
      </c>
      <c r="L71" s="2" t="inlineStr">
        <is>
          <t>Ident A + Ident B + Foreign matter</t>
        </is>
      </c>
      <c r="M71" s="2" t="inlineStr">
        <is>
          <t>A: ППК26111 / B: ППК26111 / FM: ППК26111</t>
        </is>
      </c>
      <c r="N71" s="2">
        <f>IFERROR(INDEX('CoQ Register'!$B:$B,MATCH("P060422|I",'CoQ Register'!$S:$S,0)),"—")</f>
        <v/>
      </c>
      <c r="O71" s="2" t="inlineStr">
        <is>
          <t>iCoA-PP-2026-0022</t>
        </is>
      </c>
      <c r="P71" s="2" t="inlineStr">
        <is>
          <t>P060422|I</t>
        </is>
      </c>
      <c r="Q71" s="7" t="inlineStr">
        <is>
          <t>registered — initial release, issued 03.06.2026</t>
        </is>
      </c>
    </row>
    <row r="72">
      <c r="A72" s="2" t="n">
        <v>71</v>
      </c>
      <c r="B72" s="3" t="inlineStr">
        <is>
          <t>iCoA-PP_26-071</t>
        </is>
      </c>
      <c r="C72" s="4" t="inlineStr">
        <is>
          <t>yes</t>
        </is>
      </c>
      <c r="D72" s="5">
        <f>IF(A72="","",IF(ISNUMBER(E72),MAX(DATE(2026,6,3),E72),DATE(2026,6,3)))</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FB012602*</t>
        </is>
      </c>
      <c r="J72" s="2" t="inlineStr">
        <is>
          <t>P060352</t>
        </is>
      </c>
      <c r="K72" s="2" t="inlineStr">
        <is>
          <t>FatBastard</t>
        </is>
      </c>
      <c r="L72" s="2" t="inlineStr">
        <is>
          <t>Ident A + Ident B + Foreign matter</t>
        </is>
      </c>
      <c r="M72" s="6" t="inlineStr">
        <is>
          <t>—</t>
        </is>
      </c>
      <c r="N72" s="2">
        <f>IFERROR(INDEX('CoQ Register'!$B:$B,MATCH("P060352|I",'CoQ Register'!$S:$S,0)),"—")</f>
        <v/>
      </c>
      <c r="O72" s="2" t="inlineStr">
        <is>
          <t>iCoA-PP-2026-0021</t>
        </is>
      </c>
      <c r="P72" s="2" t="inlineStr">
        <is>
          <t>P060352|I</t>
        </is>
      </c>
      <c r="Q72" s="7" t="inlineStr">
        <is>
          <t>registered — initial release,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GG012603</t>
        </is>
      </c>
      <c r="J73" s="2" t="inlineStr">
        <is>
          <t>P060402</t>
        </is>
      </c>
      <c r="K73" s="2" t="inlineStr">
        <is>
          <t>GorillaGlue</t>
        </is>
      </c>
      <c r="L73" s="2" t="inlineStr">
        <is>
          <t>Ident A + Ident B + Foreign matter</t>
        </is>
      </c>
      <c r="M73" s="2" t="inlineStr">
        <is>
          <t>A: ППК26114 / B: ППК26114 / FM: ППК26114</t>
        </is>
      </c>
      <c r="N73" s="2">
        <f>IFERROR(INDEX('CoQ Register'!$B:$B,MATCH("P060402|I",'CoQ Register'!$S:$S,0)),"—")</f>
        <v/>
      </c>
      <c r="O73" s="2" t="inlineStr">
        <is>
          <t>iCoA-PP-2026-0023</t>
        </is>
      </c>
      <c r="P73" s="2" t="inlineStr">
        <is>
          <t>P060402|I</t>
        </is>
      </c>
      <c r="Q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P060412</t>
        </is>
      </c>
      <c r="K74" s="2" t="inlineStr">
        <is>
          <t>JellyDonutz</t>
        </is>
      </c>
      <c r="L74" s="2" t="inlineStr">
        <is>
          <t>Ident A + Ident B + Foreign matter</t>
        </is>
      </c>
      <c r="M74" s="2" t="inlineStr">
        <is>
          <t>A: ППК26111 / B: ППК26111 / FM: ППК26111</t>
        </is>
      </c>
      <c r="N74" s="2">
        <f>IFERROR(INDEX('CoQ Register'!$B:$B,MATCH("P060412|I",'CoQ Register'!$S:$S,0)),"—")</f>
        <v/>
      </c>
      <c r="O74" s="2" t="inlineStr">
        <is>
          <t>iCoA-PP-2026-0025</t>
        </is>
      </c>
      <c r="P74" s="2" t="inlineStr">
        <is>
          <t>P060412|I</t>
        </is>
      </c>
      <c r="Q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SCR012603</t>
        </is>
      </c>
      <c r="J75" s="2" t="inlineStr">
        <is>
          <t>P060382</t>
        </is>
      </c>
      <c r="K75" s="2" t="inlineStr">
        <is>
          <t>Scrambler</t>
        </is>
      </c>
      <c r="L75" s="2" t="inlineStr">
        <is>
          <t>Ident A + Ident B + Foreign matter</t>
        </is>
      </c>
      <c r="M75" s="6" t="inlineStr">
        <is>
          <t>—</t>
        </is>
      </c>
      <c r="N75" s="2">
        <f>IFERROR(INDEX('CoQ Register'!$B:$B,MATCH("P060382|I",'CoQ Register'!$S:$S,0)),"—")</f>
        <v/>
      </c>
      <c r="O75" s="2" t="inlineStr">
        <is>
          <t>iCoA-PP-2026-0026</t>
        </is>
      </c>
      <c r="P75" s="2" t="inlineStr">
        <is>
          <t>P060382|I</t>
        </is>
      </c>
      <c r="Q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FB012603</t>
        </is>
      </c>
      <c r="J76" s="2" t="inlineStr">
        <is>
          <t>P060432</t>
        </is>
      </c>
      <c r="K76" s="2" t="inlineStr">
        <is>
          <t>Fat Bastard</t>
        </is>
      </c>
      <c r="L76" s="2" t="inlineStr">
        <is>
          <t>Ident A + Ident B + Foreign matter</t>
        </is>
      </c>
      <c r="M76" s="2" t="inlineStr">
        <is>
          <t>A: ППК26112 / B: ППК26112 / FM: ППК26112</t>
        </is>
      </c>
      <c r="N76" s="2">
        <f>IFERROR(INDEX('CoQ Register'!$B:$B,MATCH("P060432|I",'CoQ Register'!$S:$S,0)),"—")</f>
        <v/>
      </c>
      <c r="O76" s="6" t="inlineStr">
        <is>
          <t>—</t>
        </is>
      </c>
      <c r="P76" s="2" t="inlineStr">
        <is>
          <t>P060432|I</t>
        </is>
      </c>
      <c r="Q76" s="7" t="inlineStr">
        <is>
          <t>registered — initial release, issued 15.06.2026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SCR022601</t>
        </is>
      </c>
      <c r="J77" s="2" t="inlineStr">
        <is>
          <t>P060442</t>
        </is>
      </c>
      <c r="K77" s="2" t="inlineStr">
        <is>
          <t>Scrambler</t>
        </is>
      </c>
      <c r="L77" s="2" t="inlineStr">
        <is>
          <t>Ident A + Ident B + Foreign matter</t>
        </is>
      </c>
      <c r="M77" s="2" t="inlineStr">
        <is>
          <t>A: ППК26116 / B: ППК26116 / FM: ППК26116</t>
        </is>
      </c>
      <c r="N77" s="2">
        <f>IFERROR(INDEX('CoQ Register'!$B:$B,MATCH("P060442|I",'CoQ Register'!$S:$S,0)),"—")</f>
        <v/>
      </c>
      <c r="O77" s="6" t="inlineStr">
        <is>
          <t>—</t>
        </is>
      </c>
      <c r="P77" s="2" t="inlineStr">
        <is>
          <t>P060442|I</t>
        </is>
      </c>
      <c r="Q77" s="7" t="inlineStr">
        <is>
          <t>registered — initial release, issued 18.06.2026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FB032601</t>
        </is>
      </c>
      <c r="J78" s="2" t="inlineStr">
        <is>
          <t>P060452</t>
        </is>
      </c>
      <c r="K78" s="2" t="inlineStr">
        <is>
          <t>FatBastard</t>
        </is>
      </c>
      <c r="L78" s="2" t="inlineStr">
        <is>
          <t>Ident A + Ident B + Foreign matter</t>
        </is>
      </c>
      <c r="M78" s="2" t="inlineStr">
        <is>
          <t>A: ППК26127 / B: ППК26127 / FM: ППК26127</t>
        </is>
      </c>
      <c r="N78" s="2">
        <f>IFERROR(INDEX('CoQ Register'!$B:$B,MATCH("P060452|I",'CoQ Register'!$S:$S,0)),"—")</f>
        <v/>
      </c>
      <c r="O78" s="6" t="inlineStr">
        <is>
          <t>—</t>
        </is>
      </c>
      <c r="P78" s="2" t="inlineStr">
        <is>
          <t>P060452|I</t>
        </is>
      </c>
      <c r="Q78" s="7" t="inlineStr">
        <is>
          <t>registered — initial release, issued 29.06.2026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GG032601</t>
        </is>
      </c>
      <c r="J79" s="2" t="inlineStr">
        <is>
          <t>P060462</t>
        </is>
      </c>
      <c r="K79" s="2" t="inlineStr">
        <is>
          <t>GorillaGlue</t>
        </is>
      </c>
      <c r="L79" s="2" t="inlineStr">
        <is>
          <t>Ident A + Ident B + Foreign matter</t>
        </is>
      </c>
      <c r="M79" s="2" t="inlineStr">
        <is>
          <t>A: ППК26128 / B: ППК26128 / FM: ППК26128</t>
        </is>
      </c>
      <c r="N79" s="2">
        <f>IFERROR(INDEX('CoQ Register'!$B:$B,MATCH("P060462|I",'CoQ Register'!$S:$S,0)),"—")</f>
        <v/>
      </c>
      <c r="O79" s="6" t="inlineStr">
        <is>
          <t>—</t>
        </is>
      </c>
      <c r="P79" s="2" t="inlineStr">
        <is>
          <t>P060462|I</t>
        </is>
      </c>
      <c r="Q79" s="7" t="inlineStr">
        <is>
          <t>registered — initial release, issued 16.07.2026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JD022601</t>
        </is>
      </c>
      <c r="J80" s="2" t="inlineStr">
        <is>
          <t>P060482</t>
        </is>
      </c>
      <c r="K80" s="2" t="inlineStr">
        <is>
          <t>JellyDonutz</t>
        </is>
      </c>
      <c r="L80" s="2" t="inlineStr">
        <is>
          <t>Ident A + Ident B + Foreign matter</t>
        </is>
      </c>
      <c r="M80" s="2" t="inlineStr">
        <is>
          <t>A: ППК26115 / B: ППК26115 / FM: ППК26115</t>
        </is>
      </c>
      <c r="N80" s="2">
        <f>IFERROR(INDEX('CoQ Register'!$B:$B,MATCH("P060482|I",'CoQ Register'!$S:$S,0)),"—")</f>
        <v/>
      </c>
      <c r="O80" s="6" t="inlineStr">
        <is>
          <t>—</t>
        </is>
      </c>
      <c r="P80" s="2" t="inlineStr">
        <is>
          <t>P060482|I</t>
        </is>
      </c>
      <c r="Q80" s="7" t="inlineStr">
        <is>
          <t>registered — initial release, issued 05.08.2026</t>
        </is>
      </c>
    </row>
    <row r="81">
      <c r="A81" s="2" t="n">
        <v>80</v>
      </c>
      <c r="B81" s="3" t="inlineStr">
        <is>
          <t>iCoA-PP_26-080</t>
        </is>
      </c>
      <c r="C81" s="4" t="inlineStr">
        <is>
          <t>yes</t>
        </is>
      </c>
      <c r="D81" s="5" t="n">
        <v>46241</v>
      </c>
      <c r="E81" s="5" t="n">
        <v>46241</v>
      </c>
      <c r="F81" s="5">
        <f>IFERROR(INDEX('Batch Dates'!$G:$G,MATCH(J81,'Batch Dates'!$C:$C,0)),IFERROR(INDEX('Batch Dates'!$G:$G,MATCH(I81,'Batch Dates'!$B:$B,0)),""))</f>
        <v/>
      </c>
      <c r="G81" s="2" t="inlineStr">
        <is>
          <t>legacy</t>
        </is>
      </c>
      <c r="H81" s="2" t="inlineStr">
        <is>
          <t>retest 4</t>
        </is>
      </c>
      <c r="I81" s="3" t="inlineStr">
        <is>
          <t>GP0824_02</t>
        </is>
      </c>
      <c r="J81" s="2" t="inlineStr">
        <is>
          <t>P050022</t>
        </is>
      </c>
      <c r="K81" s="2" t="inlineStr">
        <is>
          <t>Grape Pie</t>
        </is>
      </c>
      <c r="L81" s="2" t="inlineStr">
        <is>
          <t>Ident A + Ident B + Foreign matter</t>
        </is>
      </c>
      <c r="M81" s="6" t="inlineStr">
        <is>
          <t>—</t>
        </is>
      </c>
      <c r="N81" s="2">
        <f>IFERROR(INDEX('CoQ Register'!$B:$B,MATCH("P050022|R4",'CoQ Register'!$S:$S,0)),"—")</f>
        <v/>
      </c>
      <c r="O81" s="6" t="inlineStr">
        <is>
          <t>—</t>
        </is>
      </c>
      <c r="P81" s="2" t="inlineStr">
        <is>
          <t>P050022|R4</t>
        </is>
      </c>
      <c r="Q81" s="7" t="inlineStr">
        <is>
          <t>registered — retest 4, issued 07.08.2026</t>
        </is>
      </c>
    </row>
    <row r="82">
      <c r="A82" s="2" t="n">
        <v>81</v>
      </c>
      <c r="B82" s="3" t="inlineStr">
        <is>
          <t>iCoA-PP_26-081</t>
        </is>
      </c>
      <c r="C82" s="4" t="inlineStr">
        <is>
          <t>yes</t>
        </is>
      </c>
      <c r="D82" s="5" t="n">
        <v>46241</v>
      </c>
      <c r="E82" s="5" t="n">
        <v>46241</v>
      </c>
      <c r="F82" s="5">
        <f>IFERROR(INDEX('Batch Dates'!$G:$G,MATCH(J82,'Batch Dates'!$C:$C,0)),IFERROR(INDEX('Batch Dates'!$G:$G,MATCH(I82,'Batch Dates'!$B:$B,0)),""))</f>
        <v/>
      </c>
      <c r="G82" s="2" t="inlineStr">
        <is>
          <t>legacy</t>
        </is>
      </c>
      <c r="H82" s="2" t="inlineStr">
        <is>
          <t>retest 5</t>
        </is>
      </c>
      <c r="I82" s="3" t="inlineStr">
        <is>
          <t>GP0824_02</t>
        </is>
      </c>
      <c r="J82" s="2" t="inlineStr">
        <is>
          <t>P050022</t>
        </is>
      </c>
      <c r="K82" s="2" t="inlineStr">
        <is>
          <t>Grape Pie</t>
        </is>
      </c>
      <c r="L82" s="2" t="inlineStr">
        <is>
          <t>Ident A + Ident B + Foreign matter</t>
        </is>
      </c>
      <c r="M82" s="6" t="inlineStr">
        <is>
          <t>—</t>
        </is>
      </c>
      <c r="N82" s="2">
        <f>IFERROR(INDEX('CoQ Register'!$B:$B,MATCH("P050022|R5",'CoQ Register'!$S:$S,0)),"—")</f>
        <v/>
      </c>
      <c r="O82" s="6" t="inlineStr">
        <is>
          <t>—</t>
        </is>
      </c>
      <c r="P82" s="2" t="inlineStr">
        <is>
          <t>P050022|R5</t>
        </is>
      </c>
      <c r="Q82" s="7" t="inlineStr">
        <is>
          <t>registered — retest 5, issued 07.08.2026</t>
        </is>
      </c>
    </row>
    <row r="83">
      <c r="A83" s="2" t="n">
        <v>82</v>
      </c>
      <c r="B83" s="3" t="inlineStr">
        <is>
          <t>iCoA-PP_26-082</t>
        </is>
      </c>
      <c r="C83" s="4" t="inlineStr">
        <is>
          <t>yes</t>
        </is>
      </c>
      <c r="D83" s="5" t="n">
        <v>46244</v>
      </c>
      <c r="E83" s="5" t="n">
        <v>46244</v>
      </c>
      <c r="F83" s="5">
        <f>IFERROR(INDEX('Batch Dates'!$G:$G,MATCH(J83,'Batch Dates'!$C:$C,0)),IFERROR(INDEX('Batch Dates'!$G:$G,MATCH(I83,'Batch Dates'!$B:$B,0)),""))</f>
        <v/>
      </c>
      <c r="G83" s="2" t="inlineStr">
        <is>
          <t>legacy</t>
        </is>
      </c>
      <c r="H83" s="2" t="inlineStr">
        <is>
          <t>retest 1</t>
        </is>
      </c>
      <c r="I83" s="3" t="inlineStr">
        <is>
          <t>BG1024</t>
        </is>
      </c>
      <c r="J83" s="2" t="inlineStr">
        <is>
          <t>N/A — no P batch assigned</t>
        </is>
      </c>
      <c r="K83" s="2" t="inlineStr">
        <is>
          <t>Blue Gelato</t>
        </is>
      </c>
      <c r="L83" s="2" t="inlineStr">
        <is>
          <t>Ident A + Ident B + Foreign matter</t>
        </is>
      </c>
      <c r="M83" s="6" t="inlineStr">
        <is>
          <t>—</t>
        </is>
      </c>
      <c r="N83" s="2">
        <f>IFERROR(INDEX('CoQ Register'!$B:$B,MATCH("BG1024|R",'CoQ Register'!$S:$S,0)),"—")</f>
        <v/>
      </c>
      <c r="O83" s="6" t="inlineStr">
        <is>
          <t>—</t>
        </is>
      </c>
      <c r="P83" s="2" t="inlineStr">
        <is>
          <t>BG1024|R</t>
        </is>
      </c>
      <c r="Q83" s="7" t="inlineStr">
        <is>
          <t>registered — retest 1, issued 10.08.2026</t>
        </is>
      </c>
    </row>
    <row r="84">
      <c r="A84" s="2" t="n">
        <v>83</v>
      </c>
      <c r="B84" s="3" t="inlineStr">
        <is>
          <t>iCoA-PP_26-083</t>
        </is>
      </c>
      <c r="C84" s="4" t="inlineStr">
        <is>
          <t>yes</t>
        </is>
      </c>
      <c r="D84" s="5" t="n">
        <v>46244</v>
      </c>
      <c r="E84" s="5" t="n">
        <v>46244</v>
      </c>
      <c r="F84" s="5">
        <f>IFERROR(INDEX('Batch Dates'!$G:$G,MATCH(J84,'Batch Dates'!$C:$C,0)),IFERROR(INDEX('Batch Dates'!$G:$G,MATCH(I84,'Batch Dates'!$B:$B,0)),""))</f>
        <v/>
      </c>
      <c r="G84" s="2" t="inlineStr">
        <is>
          <t>legacy</t>
        </is>
      </c>
      <c r="H84" s="2" t="inlineStr">
        <is>
          <t>retest 1</t>
        </is>
      </c>
      <c r="I84" s="3" t="inlineStr">
        <is>
          <t>BSS1024</t>
        </is>
      </c>
      <c r="J84" s="2" t="inlineStr">
        <is>
          <t>N/A — no P batch assigned</t>
        </is>
      </c>
      <c r="K84" s="2" t="inlineStr">
        <is>
          <t>Blue Sunset Sherbet</t>
        </is>
      </c>
      <c r="L84" s="2" t="inlineStr">
        <is>
          <t>Ident A + Ident B + Foreign matter</t>
        </is>
      </c>
      <c r="M84" s="6" t="inlineStr">
        <is>
          <t>—</t>
        </is>
      </c>
      <c r="N84" s="2">
        <f>IFERROR(INDEX('CoQ Register'!$B:$B,MATCH("BSS1024|R",'CoQ Register'!$S:$S,0)),"—")</f>
        <v/>
      </c>
      <c r="O84" s="6" t="inlineStr">
        <is>
          <t>—</t>
        </is>
      </c>
      <c r="P84" s="2" t="inlineStr">
        <is>
          <t>BSS1024|R</t>
        </is>
      </c>
      <c r="Q84" s="7" t="inlineStr">
        <is>
          <t>registered — retest 1, issued 10.08.2026</t>
        </is>
      </c>
    </row>
    <row r="85">
      <c r="A85" s="2" t="n">
        <v>84</v>
      </c>
      <c r="B85" s="3" t="inlineStr">
        <is>
          <t>iCoA-PP_26-084</t>
        </is>
      </c>
      <c r="C85" s="4" t="inlineStr">
        <is>
          <t>yes</t>
        </is>
      </c>
      <c r="D85" s="5" t="n">
        <v>46244</v>
      </c>
      <c r="E85" s="5" t="n">
        <v>46244</v>
      </c>
      <c r="F85" s="5">
        <f>IFERROR(INDEX('Batch Dates'!$G:$G,MATCH(J85,'Batch Dates'!$C:$C,0)),IFERROR(INDEX('Batch Dates'!$G:$G,MATCH(I85,'Batch Dates'!$B:$B,0)),""))</f>
        <v/>
      </c>
      <c r="G85" s="2" t="inlineStr">
        <is>
          <t>legacy</t>
        </is>
      </c>
      <c r="H85" s="2" t="inlineStr">
        <is>
          <t>retest 1</t>
        </is>
      </c>
      <c r="I85" s="3" t="inlineStr">
        <is>
          <t>CJ052501/01</t>
        </is>
      </c>
      <c r="J85" s="2" t="inlineStr">
        <is>
          <t>P050162</t>
        </is>
      </c>
      <c r="K85" s="2" t="inlineStr">
        <is>
          <t>Cup Junky</t>
        </is>
      </c>
      <c r="L85" s="2" t="inlineStr">
        <is>
          <t>Ident A + Ident B + Foreign matter</t>
        </is>
      </c>
      <c r="M85" s="6" t="inlineStr">
        <is>
          <t>—</t>
        </is>
      </c>
      <c r="N85" s="2">
        <f>IFERROR(INDEX('CoQ Register'!$B:$B,MATCH("P050162|R",'CoQ Register'!$S:$S,0)),"—")</f>
        <v/>
      </c>
      <c r="O85" s="6" t="inlineStr">
        <is>
          <t>—</t>
        </is>
      </c>
      <c r="P85" s="2" t="inlineStr">
        <is>
          <t>P050162|R</t>
        </is>
      </c>
      <c r="Q85" s="7" t="inlineStr">
        <is>
          <t>registered — retest 1, issued 10.08.2026</t>
        </is>
      </c>
    </row>
    <row r="86">
      <c r="A86" s="2" t="n">
        <v>85</v>
      </c>
      <c r="B86" s="3" t="inlineStr">
        <is>
          <t>iCoA-PP_26-085</t>
        </is>
      </c>
      <c r="C86" s="4" t="inlineStr">
        <is>
          <t>yes</t>
        </is>
      </c>
      <c r="D86" s="5" t="n">
        <v>46244</v>
      </c>
      <c r="E86" s="5" t="n">
        <v>46244</v>
      </c>
      <c r="F86" s="5">
        <f>IFERROR(INDEX('Batch Dates'!$G:$G,MATCH(J86,'Batch Dates'!$C:$C,0)),IFERROR(INDEX('Batch Dates'!$G:$G,MATCH(I86,'Batch Dates'!$B:$B,0)),""))</f>
        <v/>
      </c>
      <c r="G86" s="2" t="inlineStr">
        <is>
          <t>legacy</t>
        </is>
      </c>
      <c r="H86" s="2" t="inlineStr">
        <is>
          <t>retest 1</t>
        </is>
      </c>
      <c r="I86" s="3" t="inlineStr">
        <is>
          <t>CJ062501/2</t>
        </is>
      </c>
      <c r="J86" s="2" t="inlineStr">
        <is>
          <t>P050212</t>
        </is>
      </c>
      <c r="K86" s="2" t="inlineStr">
        <is>
          <t>Cap Junkie</t>
        </is>
      </c>
      <c r="L86" s="2" t="inlineStr">
        <is>
          <t>Ident A + Ident B + Foreign matter</t>
        </is>
      </c>
      <c r="M86" s="6" t="inlineStr">
        <is>
          <t>—</t>
        </is>
      </c>
      <c r="N86" s="2">
        <f>IFERROR(INDEX('CoQ Register'!$B:$B,MATCH("P050212|R",'CoQ Register'!$S:$S,0)),"—")</f>
        <v/>
      </c>
      <c r="O86" s="6" t="inlineStr">
        <is>
          <t>—</t>
        </is>
      </c>
      <c r="P86" s="2" t="inlineStr">
        <is>
          <t>P050212|R</t>
        </is>
      </c>
      <c r="Q86" s="7" t="inlineStr">
        <is>
          <t>registered — retest 1, issued 10.08.2026</t>
        </is>
      </c>
    </row>
    <row r="87">
      <c r="A87" s="2" t="n">
        <v>86</v>
      </c>
      <c r="B87" s="3" t="inlineStr">
        <is>
          <t>iCoA-PP_26-086</t>
        </is>
      </c>
      <c r="C87" s="4" t="inlineStr">
        <is>
          <t>yes</t>
        </is>
      </c>
      <c r="D87" s="5" t="n">
        <v>46244</v>
      </c>
      <c r="E87" s="5" t="n">
        <v>46244</v>
      </c>
      <c r="F87" s="5">
        <f>IFERROR(INDEX('Batch Dates'!$G:$G,MATCH(J87,'Batch Dates'!$C:$C,0)),IFERROR(INDEX('Batch Dates'!$G:$G,MATCH(I87,'Batch Dates'!$B:$B,0)),""))</f>
        <v/>
      </c>
      <c r="G87" s="2" t="inlineStr">
        <is>
          <t>legacy</t>
        </is>
      </c>
      <c r="H87" s="2" t="inlineStr">
        <is>
          <t>retest 1</t>
        </is>
      </c>
      <c r="I87" s="3" t="inlineStr">
        <is>
          <t>CJ082501/2</t>
        </is>
      </c>
      <c r="J87" s="2" t="inlineStr">
        <is>
          <t>P060032</t>
        </is>
      </c>
      <c r="K87" s="2" t="inlineStr">
        <is>
          <t>Cap Junky</t>
        </is>
      </c>
      <c r="L87" s="2" t="inlineStr">
        <is>
          <t>Ident A + Ident B + Foreign matter</t>
        </is>
      </c>
      <c r="M87" s="6" t="inlineStr">
        <is>
          <t>—</t>
        </is>
      </c>
      <c r="N87" s="2">
        <f>IFERROR(INDEX('CoQ Register'!$B:$B,MATCH("P060032|R",'CoQ Register'!$S:$S,0)),"—")</f>
        <v/>
      </c>
      <c r="O87" s="6" t="inlineStr">
        <is>
          <t>—</t>
        </is>
      </c>
      <c r="P87" s="2" t="inlineStr">
        <is>
          <t>P060032|R</t>
        </is>
      </c>
      <c r="Q87" s="7" t="inlineStr">
        <is>
          <t>registered — retest 1, issued 10.08.2026</t>
        </is>
      </c>
    </row>
    <row r="88">
      <c r="A88" s="2" t="n">
        <v>87</v>
      </c>
      <c r="B88" s="3" t="inlineStr">
        <is>
          <t>iCoA-PP_26-087</t>
        </is>
      </c>
      <c r="C88" s="4" t="inlineStr">
        <is>
          <t>yes</t>
        </is>
      </c>
      <c r="D88" s="5" t="n">
        <v>46244</v>
      </c>
      <c r="E88" s="5" t="n">
        <v>46244</v>
      </c>
      <c r="F88" s="5">
        <f>IFERROR(INDEX('Batch Dates'!$G:$G,MATCH(J88,'Batch Dates'!$C:$C,0)),IFERROR(INDEX('Batch Dates'!$G:$G,MATCH(I88,'Batch Dates'!$B:$B,0)),""))</f>
        <v/>
      </c>
      <c r="G88" s="2" t="inlineStr">
        <is>
          <t>legacy</t>
        </is>
      </c>
      <c r="H88" s="2" t="inlineStr">
        <is>
          <t>retest 1</t>
        </is>
      </c>
      <c r="I88" s="3" t="inlineStr">
        <is>
          <t>GG1024_01</t>
        </is>
      </c>
      <c r="J88" s="2" t="inlineStr">
        <is>
          <t>P050092</t>
        </is>
      </c>
      <c r="K88" s="2" t="inlineStr">
        <is>
          <t>Gorilla Glue</t>
        </is>
      </c>
      <c r="L88" s="2" t="inlineStr">
        <is>
          <t>Ident A + Ident B + Foreign matter</t>
        </is>
      </c>
      <c r="M88" s="6" t="inlineStr">
        <is>
          <t>—</t>
        </is>
      </c>
      <c r="N88" s="2">
        <f>IFERROR(INDEX('CoQ Register'!$B:$B,MATCH("P050092|R",'CoQ Register'!$S:$S,0)),"—")</f>
        <v/>
      </c>
      <c r="O88" s="6" t="inlineStr">
        <is>
          <t>—</t>
        </is>
      </c>
      <c r="P88" s="2" t="inlineStr">
        <is>
          <t>P050092|R</t>
        </is>
      </c>
      <c r="Q88" s="7" t="inlineStr">
        <is>
          <t>registered — retest 1, issued 10.08.2026</t>
        </is>
      </c>
    </row>
    <row r="89">
      <c r="A89" s="2" t="n">
        <v>88</v>
      </c>
      <c r="B89" s="3" t="inlineStr">
        <is>
          <t>iCoA-PP_26-088</t>
        </is>
      </c>
      <c r="C89" s="4" t="inlineStr">
        <is>
          <t>yes</t>
        </is>
      </c>
      <c r="D89" s="5" t="n">
        <v>46244</v>
      </c>
      <c r="E89" s="5" t="n">
        <v>46244</v>
      </c>
      <c r="F89" s="5">
        <f>IFERROR(INDEX('Batch Dates'!$G:$G,MATCH(J89,'Batch Dates'!$C:$C,0)),IFERROR(INDEX('Batch Dates'!$G:$G,MATCH(I89,'Batch Dates'!$B:$B,0)),""))</f>
        <v/>
      </c>
      <c r="G89" s="2" t="inlineStr">
        <is>
          <t>legacy</t>
        </is>
      </c>
      <c r="H89" s="2" t="inlineStr">
        <is>
          <t>retest 1</t>
        </is>
      </c>
      <c r="I89" s="3" t="inlineStr">
        <is>
          <t>GP052501</t>
        </is>
      </c>
      <c r="J89" s="2" t="inlineStr">
        <is>
          <t>P050152</t>
        </is>
      </c>
      <c r="K89" s="2" t="inlineStr">
        <is>
          <t>Grape Pie</t>
        </is>
      </c>
      <c r="L89" s="2" t="inlineStr">
        <is>
          <t>Ident A + Ident B + Foreign matter</t>
        </is>
      </c>
      <c r="M89" s="6" t="inlineStr">
        <is>
          <t>—</t>
        </is>
      </c>
      <c r="N89" s="2">
        <f>IFERROR(INDEX('CoQ Register'!$B:$B,MATCH("P050152|R",'CoQ Register'!$S:$S,0)),"—")</f>
        <v/>
      </c>
      <c r="O89" s="6" t="inlineStr">
        <is>
          <t>—</t>
        </is>
      </c>
      <c r="P89" s="2" t="inlineStr">
        <is>
          <t>P050152|R</t>
        </is>
      </c>
      <c r="Q89" s="7" t="inlineStr">
        <is>
          <t>registered — retest 1, issued 10.08.2026</t>
        </is>
      </c>
    </row>
    <row r="90">
      <c r="A90" s="2" t="n">
        <v>89</v>
      </c>
      <c r="B90" s="3" t="inlineStr">
        <is>
          <t>iCoA-PP_26-089</t>
        </is>
      </c>
      <c r="C90" s="4" t="inlineStr">
        <is>
          <t>yes</t>
        </is>
      </c>
      <c r="D90" s="5" t="n">
        <v>46244</v>
      </c>
      <c r="E90" s="5" t="n">
        <v>46244</v>
      </c>
      <c r="F90" s="5">
        <f>IFERROR(INDEX('Batch Dates'!$G:$G,MATCH(J90,'Batch Dates'!$C:$C,0)),IFERROR(INDEX('Batch Dates'!$G:$G,MATCH(I90,'Batch Dates'!$B:$B,0)),""))</f>
        <v/>
      </c>
      <c r="G90" s="2" t="inlineStr">
        <is>
          <t>legacy</t>
        </is>
      </c>
      <c r="H90" s="2" t="inlineStr">
        <is>
          <t>retest 1</t>
        </is>
      </c>
      <c r="I90" s="3" t="inlineStr">
        <is>
          <t>GP0824_02</t>
        </is>
      </c>
      <c r="J90" s="2" t="inlineStr">
        <is>
          <t>P050022</t>
        </is>
      </c>
      <c r="K90" s="2" t="inlineStr">
        <is>
          <t>Grape Pie</t>
        </is>
      </c>
      <c r="L90" s="2" t="inlineStr">
        <is>
          <t>Ident A + Ident B + Foreign matter</t>
        </is>
      </c>
      <c r="M90" s="6" t="inlineStr">
        <is>
          <t>—</t>
        </is>
      </c>
      <c r="N90" s="2">
        <f>IFERROR(INDEX('CoQ Register'!$B:$B,MATCH("P050022|R",'CoQ Register'!$S:$S,0)),"—")</f>
        <v/>
      </c>
      <c r="O90" s="6" t="inlineStr">
        <is>
          <t>—</t>
        </is>
      </c>
      <c r="P90" s="2" t="inlineStr">
        <is>
          <t>P050022|R</t>
        </is>
      </c>
      <c r="Q90" s="7" t="inlineStr">
        <is>
          <t>registered — retest 1, issued 10.08.2026</t>
        </is>
      </c>
    </row>
    <row r="91">
      <c r="A91" s="2" t="n">
        <v>90</v>
      </c>
      <c r="B91" s="3" t="inlineStr">
        <is>
          <t>iCoA-PP_26-090</t>
        </is>
      </c>
      <c r="C91" s="4" t="inlineStr">
        <is>
          <t>yes</t>
        </is>
      </c>
      <c r="D91" s="5" t="n">
        <v>46244</v>
      </c>
      <c r="E91" s="5" t="n">
        <v>46244</v>
      </c>
      <c r="F91" s="5">
        <f>IFERROR(INDEX('Batch Dates'!$G:$G,MATCH(J91,'Batch Dates'!$C:$C,0)),IFERROR(INDEX('Batch Dates'!$G:$G,MATCH(I91,'Batch Dates'!$B:$B,0)),""))</f>
        <v/>
      </c>
      <c r="G91" s="2" t="inlineStr">
        <is>
          <t>legacy</t>
        </is>
      </c>
      <c r="H91" s="2" t="inlineStr">
        <is>
          <t>retest 1</t>
        </is>
      </c>
      <c r="I91" s="3" t="inlineStr">
        <is>
          <t>GP082501/2</t>
        </is>
      </c>
      <c r="J91" s="2" t="inlineStr">
        <is>
          <t>P050322</t>
        </is>
      </c>
      <c r="K91" s="2" t="inlineStr">
        <is>
          <t>Grape Pie</t>
        </is>
      </c>
      <c r="L91" s="2" t="inlineStr">
        <is>
          <t>Ident A + Ident B + Foreign matter</t>
        </is>
      </c>
      <c r="M91" s="6" t="inlineStr">
        <is>
          <t>—</t>
        </is>
      </c>
      <c r="N91" s="2">
        <f>IFERROR(INDEX('CoQ Register'!$B:$B,MATCH("P050322|R",'CoQ Register'!$S:$S,0)),"—")</f>
        <v/>
      </c>
      <c r="O91" s="6" t="inlineStr">
        <is>
          <t>—</t>
        </is>
      </c>
      <c r="P91" s="2" t="inlineStr">
        <is>
          <t>P050322|R</t>
        </is>
      </c>
      <c r="Q91" s="7" t="inlineStr">
        <is>
          <t>registered — retest 1, issued 10.08.2026</t>
        </is>
      </c>
    </row>
    <row r="92">
      <c r="A92" s="2" t="n">
        <v>91</v>
      </c>
      <c r="B92" s="3" t="inlineStr">
        <is>
          <t>iCoA-PP_26-091</t>
        </is>
      </c>
      <c r="C92" s="4" t="inlineStr">
        <is>
          <t>yes</t>
        </is>
      </c>
      <c r="D92" s="5" t="n">
        <v>46244</v>
      </c>
      <c r="E92" s="5" t="n">
        <v>46244</v>
      </c>
      <c r="F92" s="5">
        <f>IFERROR(INDEX('Batch Dates'!$G:$G,MATCH(J92,'Batch Dates'!$C:$C,0)),IFERROR(INDEX('Batch Dates'!$G:$G,MATCH(I92,'Batch Dates'!$B:$B,0)),""))</f>
        <v/>
      </c>
      <c r="G92" s="2" t="inlineStr">
        <is>
          <t>legacy</t>
        </is>
      </c>
      <c r="H92" s="2" t="inlineStr">
        <is>
          <t>retest 1</t>
        </is>
      </c>
      <c r="I92" s="3" t="inlineStr">
        <is>
          <t>HPA1024</t>
        </is>
      </c>
      <c r="J92" s="2" t="inlineStr">
        <is>
          <t>N/A — no P batch assigned</t>
        </is>
      </c>
      <c r="K92" s="2" t="inlineStr">
        <is>
          <t>HighProAmnesia</t>
        </is>
      </c>
      <c r="L92" s="2" t="inlineStr">
        <is>
          <t>Ident A + Ident B + Foreign matter</t>
        </is>
      </c>
      <c r="M92" s="6" t="inlineStr">
        <is>
          <t>—</t>
        </is>
      </c>
      <c r="N92" s="2">
        <f>IFERROR(INDEX('CoQ Register'!$B:$B,MATCH("HPA1024|R",'CoQ Register'!$S:$S,0)),"—")</f>
        <v/>
      </c>
      <c r="O92" s="6" t="inlineStr">
        <is>
          <t>—</t>
        </is>
      </c>
      <c r="P92" s="2" t="inlineStr">
        <is>
          <t>HPA1024|R</t>
        </is>
      </c>
      <c r="Q92" s="7" t="inlineStr">
        <is>
          <t>registered — retest 1, issued 10.08.2026</t>
        </is>
      </c>
    </row>
    <row r="93">
      <c r="A93" s="2" t="n">
        <v>92</v>
      </c>
      <c r="B93" s="3" t="inlineStr">
        <is>
          <t>iCoA-PP_26-092</t>
        </is>
      </c>
      <c r="C93" s="4" t="inlineStr">
        <is>
          <t>yes</t>
        </is>
      </c>
      <c r="D93" s="5" t="n">
        <v>46244</v>
      </c>
      <c r="E93" s="5" t="n">
        <v>46244</v>
      </c>
      <c r="F93" s="5">
        <f>IFERROR(INDEX('Batch Dates'!$G:$G,MATCH(J93,'Batch Dates'!$C:$C,0)),IFERROR(INDEX('Batch Dates'!$G:$G,MATCH(I93,'Batch Dates'!$B:$B,0)),""))</f>
        <v/>
      </c>
      <c r="G93" s="2" t="inlineStr">
        <is>
          <t>legacy</t>
        </is>
      </c>
      <c r="H93" s="2" t="inlineStr">
        <is>
          <t>retest 1</t>
        </is>
      </c>
      <c r="I93" s="3" t="inlineStr">
        <is>
          <t>HPA1024_01</t>
        </is>
      </c>
      <c r="J93" s="2" t="inlineStr">
        <is>
          <t>P050052</t>
        </is>
      </c>
      <c r="K93" s="2" t="inlineStr">
        <is>
          <t>High Pro Amnesia</t>
        </is>
      </c>
      <c r="L93" s="2" t="inlineStr">
        <is>
          <t>Ident A + Ident B + Foreign matter</t>
        </is>
      </c>
      <c r="M93" s="6" t="inlineStr">
        <is>
          <t>—</t>
        </is>
      </c>
      <c r="N93" s="2">
        <f>IFERROR(INDEX('CoQ Register'!$B:$B,MATCH("P050052|R",'CoQ Register'!$S:$S,0)),"—")</f>
        <v/>
      </c>
      <c r="O93" s="6" t="inlineStr">
        <is>
          <t>—</t>
        </is>
      </c>
      <c r="P93" s="2" t="inlineStr">
        <is>
          <t>P050052|R</t>
        </is>
      </c>
      <c r="Q93" s="7" t="inlineStr">
        <is>
          <t>registered — retest 1, issued 10.08.2026</t>
        </is>
      </c>
    </row>
    <row r="94">
      <c r="A94" s="2" t="n">
        <v>93</v>
      </c>
      <c r="B94" s="3" t="inlineStr">
        <is>
          <t>iCoA-PP_26-093</t>
        </is>
      </c>
      <c r="C94" s="4" t="inlineStr">
        <is>
          <t>yes</t>
        </is>
      </c>
      <c r="D94" s="5" t="n">
        <v>46244</v>
      </c>
      <c r="E94" s="5" t="n">
        <v>46244</v>
      </c>
      <c r="F94" s="5">
        <f>IFERROR(INDEX('Batch Dates'!$G:$G,MATCH(J94,'Batch Dates'!$C:$C,0)),IFERROR(INDEX('Batch Dates'!$G:$G,MATCH(I94,'Batch Dates'!$B:$B,0)),""))</f>
        <v/>
      </c>
      <c r="G94" s="2" t="inlineStr">
        <is>
          <t>legacy</t>
        </is>
      </c>
      <c r="H94" s="2" t="inlineStr">
        <is>
          <t>retest 1</t>
        </is>
      </c>
      <c r="I94" s="3" t="inlineStr">
        <is>
          <t>OPM1024</t>
        </is>
      </c>
      <c r="J94" s="2" t="inlineStr">
        <is>
          <t>N/A — no P batch assigned</t>
        </is>
      </c>
      <c r="K94" s="2" t="inlineStr">
        <is>
          <t>OrangePunchMimosa</t>
        </is>
      </c>
      <c r="L94" s="2" t="inlineStr">
        <is>
          <t>Ident A + Ident B + Foreign matter</t>
        </is>
      </c>
      <c r="M94" s="6" t="inlineStr">
        <is>
          <t>—</t>
        </is>
      </c>
      <c r="N94" s="2">
        <f>IFERROR(INDEX('CoQ Register'!$B:$B,MATCH("OPM1024|R",'CoQ Register'!$S:$S,0)),"—")</f>
        <v/>
      </c>
      <c r="O94" s="6" t="inlineStr">
        <is>
          <t>—</t>
        </is>
      </c>
      <c r="P94" s="2" t="inlineStr">
        <is>
          <t>OPM1024|R</t>
        </is>
      </c>
      <c r="Q94" s="7" t="inlineStr">
        <is>
          <t>registered — retest 1, issued 10.08.2026</t>
        </is>
      </c>
    </row>
    <row r="95">
      <c r="A95" s="2" t="n">
        <v>94</v>
      </c>
      <c r="B95" s="3" t="inlineStr">
        <is>
          <t>iCoA-PP_26-094</t>
        </is>
      </c>
      <c r="C95" s="4" t="inlineStr">
        <is>
          <t>yes</t>
        </is>
      </c>
      <c r="D95" s="5" t="n">
        <v>46244</v>
      </c>
      <c r="E95" s="5" t="n">
        <v>46244</v>
      </c>
      <c r="F95" s="5">
        <f>IFERROR(INDEX('Batch Dates'!$G:$G,MATCH(J95,'Batch Dates'!$C:$C,0)),IFERROR(INDEX('Batch Dates'!$G:$G,MATCH(I95,'Batch Dates'!$B:$B,0)),""))</f>
        <v/>
      </c>
      <c r="G95" s="2" t="inlineStr">
        <is>
          <t>legacy</t>
        </is>
      </c>
      <c r="H95" s="2" t="inlineStr">
        <is>
          <t>retest 1</t>
        </is>
      </c>
      <c r="I95" s="3" t="inlineStr">
        <is>
          <t>OPM1024_02</t>
        </is>
      </c>
      <c r="J95" s="2" t="inlineStr">
        <is>
          <t>P050062</t>
        </is>
      </c>
      <c r="K95" s="2" t="inlineStr">
        <is>
          <t>Orange Punch Mimosa</t>
        </is>
      </c>
      <c r="L95" s="2" t="inlineStr">
        <is>
          <t>Ident A + Ident B + Foreign matter</t>
        </is>
      </c>
      <c r="M95" s="6" t="inlineStr">
        <is>
          <t>—</t>
        </is>
      </c>
      <c r="N95" s="2">
        <f>IFERROR(INDEX('CoQ Register'!$B:$B,MATCH("P050062|R",'CoQ Register'!$S:$S,0)),"—")</f>
        <v/>
      </c>
      <c r="O95" s="6" t="inlineStr">
        <is>
          <t>—</t>
        </is>
      </c>
      <c r="P95" s="2" t="inlineStr">
        <is>
          <t>P050062|R</t>
        </is>
      </c>
      <c r="Q95" s="7" t="inlineStr">
        <is>
          <t>registered — retest 1, issued 10.08.2026</t>
        </is>
      </c>
    </row>
    <row r="96">
      <c r="A96" s="2" t="n">
        <v>95</v>
      </c>
      <c r="B96" s="3" t="inlineStr">
        <is>
          <t>iCoA-PP_26-095</t>
        </is>
      </c>
      <c r="C96" s="4" t="inlineStr">
        <is>
          <t>yes</t>
        </is>
      </c>
      <c r="D96" s="5" t="n">
        <v>46244</v>
      </c>
      <c r="E96" s="5" t="n">
        <v>46244</v>
      </c>
      <c r="F96" s="5">
        <f>IFERROR(INDEX('Batch Dates'!$G:$G,MATCH(J96,'Batch Dates'!$C:$C,0)),IFERROR(INDEX('Batch Dates'!$G:$G,MATCH(I96,'Batch Dates'!$B:$B,0)),""))</f>
        <v/>
      </c>
      <c r="G96" s="2" t="inlineStr">
        <is>
          <t>legacy</t>
        </is>
      </c>
      <c r="H96" s="2" t="inlineStr">
        <is>
          <t>retest 1</t>
        </is>
      </c>
      <c r="I96" s="3" t="inlineStr">
        <is>
          <t>PM092501</t>
        </is>
      </c>
      <c r="J96" s="2" t="inlineStr">
        <is>
          <t>P060062</t>
        </is>
      </c>
      <c r="K96" s="2" t="inlineStr">
        <is>
          <t>Permanent Market</t>
        </is>
      </c>
      <c r="L96" s="2" t="inlineStr">
        <is>
          <t>Ident A + Ident B + Foreign matter</t>
        </is>
      </c>
      <c r="M96" s="6" t="inlineStr">
        <is>
          <t>—</t>
        </is>
      </c>
      <c r="N96" s="2">
        <f>IFERROR(INDEX('CoQ Register'!$B:$B,MATCH("P060062|R",'CoQ Register'!$S:$S,0)),"—")</f>
        <v/>
      </c>
      <c r="O96" s="6" t="inlineStr">
        <is>
          <t>—</t>
        </is>
      </c>
      <c r="P96" s="2" t="inlineStr">
        <is>
          <t>P060062|R</t>
        </is>
      </c>
      <c r="Q96" s="7" t="inlineStr">
        <is>
          <t>registered — retest 1, issued 10.08.2026</t>
        </is>
      </c>
    </row>
    <row r="97">
      <c r="A97" s="2" t="inlineStr"/>
      <c r="B97" s="3" t="inlineStr">
        <is>
          <t>— at issue —</t>
        </is>
      </c>
      <c r="C97" s="6" t="inlineStr">
        <is>
          <t>no</t>
        </is>
      </c>
      <c r="D97" s="5">
        <f>IF(A97="","",IF(ISNUMBER(E97),MAX(DATE(2026,6,3),E97),DATE(2026,6,3)))</f>
        <v/>
      </c>
      <c r="E97" s="5">
        <f>IFERROR(INDEX('Batch Dates'!$F:$F,MATCH(J97,'Batch Dates'!$C:$C,0)),IFERROR(INDEX('Batch Dates'!$F:$F,MATCH(I97,'Batch Dates'!$B:$B,0)),""))</f>
        <v/>
      </c>
      <c r="F97" s="5">
        <f>IFERROR(INDEX('Batch Dates'!$G:$G,MATCH(J97,'Batch Dates'!$C:$C,0)),IFERROR(INDEX('Batch Dates'!$G:$G,MATCH(I97,'Batch Dates'!$B:$B,0)),""))</f>
        <v/>
      </c>
      <c r="G97" s="2" t="inlineStr">
        <is>
          <t>legacy</t>
        </is>
      </c>
      <c r="H97" s="2" t="inlineStr">
        <is>
          <t>initial release</t>
        </is>
      </c>
      <c r="I97" s="3" t="inlineStr">
        <is>
          <t>BSS1024_01/1</t>
        </is>
      </c>
      <c r="J97" s="2" t="inlineStr">
        <is>
          <t>P050122</t>
        </is>
      </c>
      <c r="K97" s="2" t="inlineStr">
        <is>
          <t>Blue Sunset Sherbet</t>
        </is>
      </c>
      <c r="L97" s="2" t="inlineStr">
        <is>
          <t>Ident A + Ident B + Foreign matter</t>
        </is>
      </c>
      <c r="M97" s="6" t="inlineStr">
        <is>
          <t>—</t>
        </is>
      </c>
      <c r="N97" s="2">
        <f>IFERROR(INDEX('CoQ Register'!$B:$B,MATCH("P050122|I",'CoQ Register'!$S:$S,0)),"—")</f>
        <v/>
      </c>
      <c r="O97" s="6" t="inlineStr">
        <is>
          <t>—</t>
        </is>
      </c>
      <c r="P97" s="2" t="inlineStr">
        <is>
          <t>P050122|I</t>
        </is>
      </c>
      <c r="Q97" s="8" t="inlineStr">
        <is>
          <t>not yet issuable — no packaging date on file — testing date not stated</t>
        </is>
      </c>
    </row>
    <row r="98">
      <c r="A98" s="2" t="inlineStr"/>
      <c r="B98" s="3" t="inlineStr">
        <is>
          <t>— at issue —</t>
        </is>
      </c>
      <c r="C98" s="6" t="inlineStr">
        <is>
          <t>no</t>
        </is>
      </c>
      <c r="D98" s="5">
        <f>IF(A98="","",IF(ISNUMBER(E98),MAX(DATE(2026,6,3),E98),DATE(2026,6,3)))</f>
        <v/>
      </c>
      <c r="E98" s="5">
        <f>IFERROR(INDEX('Batch Dates'!$F:$F,MATCH(J98,'Batch Dates'!$C:$C,0)),IFERROR(INDEX('Batch Dates'!$F:$F,MATCH(I98,'Batch Dates'!$B:$B,0)),""))</f>
        <v/>
      </c>
      <c r="F98" s="5">
        <f>IFERROR(INDEX('Batch Dates'!$G:$G,MATCH(J98,'Batch Dates'!$C:$C,0)),IFERROR(INDEX('Batch Dates'!$G:$G,MATCH(I98,'Batch Dates'!$B:$B,0)),""))</f>
        <v/>
      </c>
      <c r="G98" s="2" t="inlineStr">
        <is>
          <t>post-SOP</t>
        </is>
      </c>
      <c r="H98" s="2" t="inlineStr">
        <is>
          <t>initial release</t>
        </is>
      </c>
      <c r="I98" s="3" t="inlineStr">
        <is>
          <t>GG012601＊</t>
        </is>
      </c>
      <c r="J98" s="2" t="inlineStr">
        <is>
          <t>P060302</t>
        </is>
      </c>
      <c r="K98" s="2" t="inlineStr">
        <is>
          <t>Gorilla Glue</t>
        </is>
      </c>
      <c r="L98" s="2" t="inlineStr">
        <is>
          <t>Ident A + Ident B + Foreign matter</t>
        </is>
      </c>
      <c r="M98" s="6" t="inlineStr">
        <is>
          <t>—</t>
        </is>
      </c>
      <c r="N98" s="2">
        <f>IFERROR(INDEX('CoQ Register'!$B:$B,MATCH("P060302|I",'CoQ Register'!$S:$S,0)),"—")</f>
        <v/>
      </c>
      <c r="O98" s="6" t="inlineStr">
        <is>
          <t>—</t>
        </is>
      </c>
      <c r="P98" s="2" t="inlineStr">
        <is>
          <t>P060302|I</t>
        </is>
      </c>
      <c r="Q98" s="8" t="inlineStr">
        <is>
          <t>not yet issuable — no packaging date on file — testing date not stated</t>
        </is>
      </c>
    </row>
    <row r="99">
      <c r="A99" s="2" t="inlineStr"/>
      <c r="B99" s="3" t="inlineStr">
        <is>
          <t>— at issue —</t>
        </is>
      </c>
      <c r="C99" s="6" t="inlineStr">
        <is>
          <t>no</t>
        </is>
      </c>
      <c r="D99" s="5">
        <f>IF(A99="","",IF(ISNUMBER(E99),MAX(DATE(2026,6,3),E99),DATE(2026,6,3)))</f>
        <v/>
      </c>
      <c r="E99" s="5">
        <f>IFERROR(INDEX('Batch Dates'!$F:$F,MATCH(J99,'Batch Dates'!$C:$C,0)),IFERROR(INDEX('Batch Dates'!$F:$F,MATCH(I99,'Batch Dates'!$B:$B,0)),""))</f>
        <v/>
      </c>
      <c r="F99" s="5">
        <f>IFERROR(INDEX('Batch Dates'!$G:$G,MATCH(J99,'Batch Dates'!$C:$C,0)),IFERROR(INDEX('Batch Dates'!$G:$G,MATCH(I99,'Batch Dates'!$B:$B,0)),""))</f>
        <v/>
      </c>
      <c r="G99" s="2" t="inlineStr">
        <is>
          <t>post-SOP</t>
        </is>
      </c>
      <c r="H99" s="2" t="inlineStr">
        <is>
          <t>initial release</t>
        </is>
      </c>
      <c r="I99" s="3" t="inlineStr">
        <is>
          <t>JD012601＊</t>
        </is>
      </c>
      <c r="J99" s="2" t="inlineStr">
        <is>
          <t>P060312</t>
        </is>
      </c>
      <c r="K99" s="2" t="inlineStr">
        <is>
          <t>Jelly Donutz</t>
        </is>
      </c>
      <c r="L99" s="2" t="inlineStr">
        <is>
          <t>Ident A + Ident B + Foreign matter</t>
        </is>
      </c>
      <c r="M99" s="6" t="inlineStr">
        <is>
          <t>—</t>
        </is>
      </c>
      <c r="N99" s="2">
        <f>IFERROR(INDEX('CoQ Register'!$B:$B,MATCH("P060312|I",'CoQ Register'!$S:$S,0)),"—")</f>
        <v/>
      </c>
      <c r="O99" s="6" t="inlineStr">
        <is>
          <t>—</t>
        </is>
      </c>
      <c r="P99" s="2" t="inlineStr">
        <is>
          <t>P060312|I</t>
        </is>
      </c>
      <c r="Q99" s="8" t="inlineStr">
        <is>
          <t>not yet issuable — no packaging date on file — testing date not stated</t>
        </is>
      </c>
    </row>
    <row r="100">
      <c r="A100" s="2" t="inlineStr"/>
      <c r="B100" s="3" t="inlineStr">
        <is>
          <t>— at issue —</t>
        </is>
      </c>
      <c r="C100" s="6" t="inlineStr">
        <is>
          <t>no</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legacy</t>
        </is>
      </c>
      <c r="H100" s="2" t="inlineStr">
        <is>
          <t>initial release</t>
        </is>
      </c>
      <c r="I100" s="3" t="inlineStr">
        <is>
          <t>OMP1024_01</t>
        </is>
      </c>
      <c r="J100" s="2" t="inlineStr">
        <is>
          <t>P050042</t>
        </is>
      </c>
      <c r="K100" s="2" t="inlineStr">
        <is>
          <t>Orange Punch Mimosa</t>
        </is>
      </c>
      <c r="L100" s="2" t="inlineStr">
        <is>
          <t>Ident A + Ident B + Foreign matter</t>
        </is>
      </c>
      <c r="M100" s="6" t="inlineStr">
        <is>
          <t>—</t>
        </is>
      </c>
      <c r="N100" s="2">
        <f>IFERROR(INDEX('CoQ Register'!$B:$B,MATCH("P050042|I",'CoQ Register'!$S:$S,0)),"—")</f>
        <v/>
      </c>
      <c r="O100" s="2" t="inlineStr">
        <is>
          <t>iCoA-PP-2025-0007</t>
        </is>
      </c>
      <c r="P100" s="2" t="inlineStr">
        <is>
          <t>P050042|I</t>
        </is>
      </c>
      <c r="Q100" s="8" t="inlineStr">
        <is>
          <t>not yet issuable — no packaging date on file — testing date not stated</t>
        </is>
      </c>
    </row>
    <row r="101">
      <c r="A101" s="2" t="inlineStr"/>
      <c r="B101" s="3" t="inlineStr">
        <is>
          <t>— at issue —</t>
        </is>
      </c>
      <c r="C101" s="6" t="inlineStr">
        <is>
          <t>no</t>
        </is>
      </c>
      <c r="D101" s="5">
        <f>IF(A101="","",IF(ISNUMBER(E101),MAX(DATE(2026,6,3),E101),DATE(2026,6,3)))</f>
        <v/>
      </c>
      <c r="E101" s="5">
        <f>IFERROR(INDEX('Batch Dates'!$F:$F,MATCH(J101,'Batch Dates'!$C:$C,0)),IFERROR(INDEX('Batch Dates'!$F:$F,MATCH(I101,'Batch Dates'!$B:$B,0)),""))</f>
        <v/>
      </c>
      <c r="F101" s="5">
        <f>IFERROR(INDEX('Batch Dates'!$G:$G,MATCH(J101,'Batch Dates'!$C:$C,0)),IFERROR(INDEX('Batch Dates'!$G:$G,MATCH(I101,'Batch Dates'!$B:$B,0)),""))</f>
        <v/>
      </c>
      <c r="G101" s="2" t="inlineStr">
        <is>
          <t>—</t>
        </is>
      </c>
      <c r="H101" s="2" t="inlineStr">
        <is>
          <t>initial release</t>
        </is>
      </c>
      <c r="I101" s="3" t="inlineStr">
        <is>
          <t>— not recorded — (P160012)</t>
        </is>
      </c>
      <c r="J101" s="2" t="inlineStr">
        <is>
          <t>P160012</t>
        </is>
      </c>
      <c r="K101" s="2" t="inlineStr">
        <is>
          <t>GrapePie</t>
        </is>
      </c>
      <c r="L101" s="2" t="inlineStr">
        <is>
          <t>Ident A + Ident B + Foreign matter</t>
        </is>
      </c>
      <c r="M101" s="2" t="inlineStr">
        <is>
          <t>A: ППК26117 / B: ППК26117 / FM: ППК26117</t>
        </is>
      </c>
      <c r="N101" s="2">
        <f>IFERROR(INDEX('CoQ Register'!$B:$B,MATCH("P160012|I",'CoQ Register'!$S:$S,0)),"—")</f>
        <v/>
      </c>
      <c r="O101" s="6" t="inlineStr">
        <is>
          <t>—</t>
        </is>
      </c>
      <c r="P101" s="2" t="inlineStr">
        <is>
          <t>P160012|I</t>
        </is>
      </c>
      <c r="Q101" s="8" t="inlineStr">
        <is>
          <t>not yet issuable — no packaging date on file — testing date not stated</t>
        </is>
      </c>
    </row>
    <row r="102">
      <c r="A102" s="2" t="inlineStr"/>
      <c r="B102" s="3" t="inlineStr">
        <is>
          <t>— at issue —</t>
        </is>
      </c>
      <c r="C102" s="6" t="inlineStr">
        <is>
          <t>no</t>
        </is>
      </c>
      <c r="D102" s="5">
        <f>IF(A102="","",IF(ISNUMBER(E102),MAX(DATE(2026,6,3),E102),DATE(2026,6,3)))</f>
        <v/>
      </c>
      <c r="E102" s="5">
        <f>IFERROR(INDEX('Batch Dates'!$F:$F,MATCH(J102,'Batch Dates'!$C:$C,0)),IFERROR(INDEX('Batch Dates'!$F:$F,MATCH(I102,'Batch Dates'!$B:$B,0)),""))</f>
        <v/>
      </c>
      <c r="F102" s="5">
        <f>IFERROR(INDEX('Batch Dates'!$G:$G,MATCH(J102,'Batch Dates'!$C:$C,0)),IFERROR(INDEX('Batch Dates'!$G:$G,MATCH(I102,'Batch Dates'!$B:$B,0)),""))</f>
        <v/>
      </c>
      <c r="G102" s="2" t="inlineStr">
        <is>
          <t>—</t>
        </is>
      </c>
      <c r="H102" s="2" t="inlineStr">
        <is>
          <t>initial release</t>
        </is>
      </c>
      <c r="I102" s="3" t="inlineStr">
        <is>
          <t>— not recorded — (P160022)</t>
        </is>
      </c>
      <c r="J102" s="2" t="inlineStr">
        <is>
          <t>P160022</t>
        </is>
      </c>
      <c r="K102" s="2" t="inlineStr">
        <is>
          <t>GrapePie</t>
        </is>
      </c>
      <c r="L102" s="2" t="inlineStr">
        <is>
          <t>Ident A + Ident B + Foreign matter</t>
        </is>
      </c>
      <c r="M102" s="2" t="inlineStr">
        <is>
          <t>A: ППК26118 / B: ППК26118 / FM: ППК26118</t>
        </is>
      </c>
      <c r="N102" s="2">
        <f>IFERROR(INDEX('CoQ Register'!$B:$B,MATCH("P160022|I",'CoQ Register'!$S:$S,0)),"—")</f>
        <v/>
      </c>
      <c r="O102" s="6" t="inlineStr">
        <is>
          <t>—</t>
        </is>
      </c>
      <c r="P102" s="2" t="inlineStr">
        <is>
          <t>P160022|I</t>
        </is>
      </c>
      <c r="Q102" s="8" t="inlineStr">
        <is>
          <t>not yet issuable — no packaging date on file — testing date not stated</t>
        </is>
      </c>
    </row>
    <row r="103">
      <c r="A103" s="2" t="inlineStr"/>
      <c r="B103" s="3" t="inlineStr">
        <is>
          <t>— at issue —</t>
        </is>
      </c>
      <c r="C103" s="6" t="inlineStr">
        <is>
          <t>no</t>
        </is>
      </c>
      <c r="D103" s="5">
        <f>IF(A103="","",IF(ISNUMBER(E103),MAX(DATE(2026,6,3),E103),DATE(2026,6,3)))</f>
        <v/>
      </c>
      <c r="E103" s="5">
        <f>IFERROR(INDEX('Batch Dates'!$F:$F,MATCH(J103,'Batch Dates'!$C:$C,0)),IFERROR(INDEX('Batch Dates'!$F:$F,MATCH(I103,'Batch Dates'!$B:$B,0)),""))</f>
        <v/>
      </c>
      <c r="F103" s="5">
        <f>IFERROR(INDEX('Batch Dates'!$G:$G,MATCH(J103,'Batch Dates'!$C:$C,0)),IFERROR(INDEX('Batch Dates'!$G:$G,MATCH(I103,'Batch Dates'!$B:$B,0)),""))</f>
        <v/>
      </c>
      <c r="G103" s="2" t="inlineStr">
        <is>
          <t>—</t>
        </is>
      </c>
      <c r="H103" s="2" t="inlineStr">
        <is>
          <t>initial release</t>
        </is>
      </c>
      <c r="I103" s="3" t="inlineStr">
        <is>
          <t>— not recorded — (P160032)</t>
        </is>
      </c>
      <c r="J103" s="2" t="inlineStr">
        <is>
          <t>P160032</t>
        </is>
      </c>
      <c r="K103" s="2" t="inlineStr">
        <is>
          <t>GrapePie</t>
        </is>
      </c>
      <c r="L103" s="2" t="inlineStr">
        <is>
          <t>Ident A + Ident B + Foreign matter</t>
        </is>
      </c>
      <c r="M103" s="2" t="inlineStr">
        <is>
          <t>A: ППК26119 / B: ППК26119 / FM: ППК26119</t>
        </is>
      </c>
      <c r="N103" s="2">
        <f>IFERROR(INDEX('CoQ Register'!$B:$B,MATCH("P160032|I",'CoQ Register'!$S:$S,0)),"—")</f>
        <v/>
      </c>
      <c r="O103" s="6" t="inlineStr">
        <is>
          <t>—</t>
        </is>
      </c>
      <c r="P103" s="2" t="inlineStr">
        <is>
          <t>P160032|I</t>
        </is>
      </c>
      <c r="Q103" s="8" t="inlineStr">
        <is>
          <t>not yet issuable — no packaging date on file — testing date not stated</t>
        </is>
      </c>
    </row>
    <row r="104">
      <c r="A104" s="2" t="inlineStr"/>
      <c r="B104" s="3" t="inlineStr">
        <is>
          <t>not needed</t>
        </is>
      </c>
      <c r="C104" s="2" t="inlineStr">
        <is>
          <t>n/a</t>
        </is>
      </c>
      <c r="D104" s="5">
        <f>IF(A104="","",IF(ISNUMBER(E104),MAX(DATE(2026,6,3),E104),DATE(2026,6,3)))</f>
        <v/>
      </c>
      <c r="E104" s="5">
        <f>IFERROR(INDEX('Batch Dates'!$F:$F,MATCH(J104,'Batch Dates'!$C:$C,0)),IFERROR(INDEX('Batch Dates'!$F:$F,MATCH(I104,'Batch Dates'!$B:$B,0)),""))</f>
        <v/>
      </c>
      <c r="F104" s="5">
        <f>IFERROR(INDEX('Batch Dates'!$G:$G,MATCH(J104,'Batch Dates'!$C:$C,0)),IFERROR(INDEX('Batch Dates'!$G:$G,MATCH(I104,'Batch Dates'!$B:$B,0)),""))</f>
        <v/>
      </c>
      <c r="G104" s="2" t="inlineStr">
        <is>
          <t>post-SOP</t>
        </is>
      </c>
      <c r="H104" s="2" t="inlineStr">
        <is>
          <t>initial release</t>
        </is>
      </c>
      <c r="I104" s="3" t="inlineStr">
        <is>
          <t>JD012603</t>
        </is>
      </c>
      <c r="J104" s="2" t="inlineStr">
        <is>
          <t>P060362</t>
        </is>
      </c>
      <c r="K104" s="2" t="inlineStr"/>
      <c r="L104" s="2" t="inlineStr">
        <is>
          <t>— all three on the CNP certificate —</t>
        </is>
      </c>
      <c r="M104" s="2" t="inlineStr">
        <is>
          <t>A: ППК26111 / B: ППК26111 / FM: ППК26111</t>
        </is>
      </c>
      <c r="N104" s="2">
        <f>IFERROR(INDEX('CoQ Register'!$B:$B,MATCH("P060362|I",'CoQ Register'!$S:$S,0)),"—")</f>
        <v/>
      </c>
      <c r="O104" s="2" t="inlineStr">
        <is>
          <t>iCoA-PP-2026-0020</t>
        </is>
      </c>
      <c r="P104" s="2" t="inlineStr">
        <is>
          <t>P060362|I</t>
        </is>
      </c>
      <c r="Q104" s="9" t="inlineStr">
        <is>
          <t>not needed — CNP covers A, B and foreign matter</t>
        </is>
      </c>
    </row>
    <row r="105">
      <c r="A105" s="2" t="inlineStr"/>
      <c r="B105" s="3" t="inlineStr">
        <is>
          <t>— at issue —</t>
        </is>
      </c>
      <c r="C105" s="6" t="inlineStr">
        <is>
          <t>no</t>
        </is>
      </c>
      <c r="D105" s="5">
        <f>IF(A105="","",IF(ISNUMBER(E105),MAX(DATE(2026,6,3),E105),DATE(2026,6,3)))</f>
        <v/>
      </c>
      <c r="E105" s="5">
        <f>IFERROR(INDEX('Batch Dates'!$F:$F,MATCH(J105,'Batch Dates'!$C:$C,0)),IFERROR(INDEX('Batch Dates'!$F:$F,MATCH(I105,'Batch Dates'!$B:$B,0)),""))</f>
        <v/>
      </c>
      <c r="F105" s="5">
        <f>IFERROR(INDEX('Batch Dates'!$G:$G,MATCH(J105,'Batch Dates'!$C:$C,0)),IFERROR(INDEX('Batch Dates'!$G:$G,MATCH(I105,'Batch Dates'!$B:$B,0)),""))</f>
        <v/>
      </c>
      <c r="G105" s="2" t="inlineStr">
        <is>
          <t>legacy</t>
        </is>
      </c>
      <c r="H105" s="2" t="inlineStr">
        <is>
          <t>initial release</t>
        </is>
      </c>
      <c r="I105" s="3" t="inlineStr">
        <is>
          <t>GG1024</t>
        </is>
      </c>
      <c r="J105" s="2" t="inlineStr">
        <is>
          <t>N/A — no P batch assigned</t>
        </is>
      </c>
      <c r="K105" s="2" t="inlineStr">
        <is>
          <t>Gorilla Glue</t>
        </is>
      </c>
      <c r="L105" s="2" t="inlineStr">
        <is>
          <t>Ident A + Ident B + Foreign matter</t>
        </is>
      </c>
      <c r="M105" s="6" t="inlineStr">
        <is>
          <t>—</t>
        </is>
      </c>
      <c r="N105" s="2">
        <f>IFERROR(INDEX('CoQ Register'!$B:$B,MATCH("GG1024|I",'CoQ Register'!$S:$S,0)),"—")</f>
        <v/>
      </c>
      <c r="O105" s="2" t="inlineStr">
        <is>
          <t>iCoA-PP-2025-0003</t>
        </is>
      </c>
      <c r="P105" s="2" t="inlineStr">
        <is>
          <t>GG1024|I</t>
        </is>
      </c>
      <c r="Q105" s="8" t="inlineStr">
        <is>
          <t>not yet issuable — not in icoa_register.py — the register numbers the series and does not carry this round</t>
        </is>
      </c>
    </row>
    <row r="106">
      <c r="A106" s="2" t="inlineStr"/>
      <c r="B106" s="3" t="inlineStr">
        <is>
          <t>— at issue —</t>
        </is>
      </c>
      <c r="C106" s="6" t="inlineStr">
        <is>
          <t>no</t>
        </is>
      </c>
      <c r="D106" s="5">
        <f>IF(A106="","",IF(ISNUMBER(E106),MAX(DATE(2026,6,3),E106),DATE(2026,6,3)))</f>
        <v/>
      </c>
      <c r="E106" s="5">
        <f>IFERROR(INDEX('Batch Dates'!$F:$F,MATCH(J106,'Batch Dates'!$C:$C,0)),IFERROR(INDEX('Batch Dates'!$F:$F,MATCH(I106,'Batch Dates'!$B:$B,0)),""))</f>
        <v/>
      </c>
      <c r="F106" s="5">
        <f>IFERROR(INDEX('Batch Dates'!$G:$G,MATCH(J106,'Batch Dates'!$C:$C,0)),IFERROR(INDEX('Batch Dates'!$G:$G,MATCH(I106,'Batch Dates'!$B:$B,0)),""))</f>
        <v/>
      </c>
      <c r="G106" s="2" t="inlineStr">
        <is>
          <t>legacy</t>
        </is>
      </c>
      <c r="H106" s="2" t="inlineStr">
        <is>
          <t>initial release</t>
        </is>
      </c>
      <c r="I106" s="3" t="inlineStr">
        <is>
          <t>BSS1024_01/2</t>
        </is>
      </c>
      <c r="J106" s="2" t="inlineStr">
        <is>
          <t>P050142</t>
        </is>
      </c>
      <c r="K106" s="2" t="inlineStr">
        <is>
          <t>Blue Sunset Sherbet</t>
        </is>
      </c>
      <c r="L106" s="2" t="inlineStr">
        <is>
          <t>Ident A + Ident B + Foreign matter</t>
        </is>
      </c>
      <c r="M106" s="6" t="inlineStr">
        <is>
          <t>—</t>
        </is>
      </c>
      <c r="N106" s="2">
        <f>IFERROR(INDEX('CoQ Register'!$B:$B,MATCH("P050142|I",'CoQ Register'!$S:$S,0)),"—")</f>
        <v/>
      </c>
      <c r="O106" s="6" t="inlineStr">
        <is>
          <t>—</t>
        </is>
      </c>
      <c r="P106" s="2" t="inlineStr">
        <is>
          <t>P050142|I</t>
        </is>
      </c>
      <c r="Q106" s="8" t="inlineStr">
        <is>
          <t>not yet issuable — not in icoa_register.py — the register numbers the series and does not carry this round</t>
        </is>
      </c>
    </row>
    <row r="107">
      <c r="A107" s="2" t="inlineStr"/>
      <c r="B107" s="3" t="inlineStr">
        <is>
          <t>— at issue —</t>
        </is>
      </c>
      <c r="C107" s="6" t="inlineStr">
        <is>
          <t>no</t>
        </is>
      </c>
      <c r="D107" s="5">
        <f>IF(A107="","",IF(ISNUMBER(E107),MAX(DATE(2026,6,3),E107),DATE(2026,6,3)))</f>
        <v/>
      </c>
      <c r="E107" s="5">
        <f>IFERROR(INDEX('Batch Dates'!$F:$F,MATCH(J107,'Batch Dates'!$C:$C,0)),IFERROR(INDEX('Batch Dates'!$F:$F,MATCH(I107,'Batch Dates'!$B:$B,0)),""))</f>
        <v/>
      </c>
      <c r="F107" s="5">
        <f>IFERROR(INDEX('Batch Dates'!$G:$G,MATCH(J107,'Batch Dates'!$C:$C,0)),IFERROR(INDEX('Batch Dates'!$G:$G,MATCH(I107,'Batch Dates'!$B:$B,0)),""))</f>
        <v/>
      </c>
      <c r="G107" s="2" t="inlineStr">
        <is>
          <t>legacy</t>
        </is>
      </c>
      <c r="H107" s="2" t="inlineStr">
        <is>
          <t>initial release</t>
        </is>
      </c>
      <c r="I107" s="3" t="inlineStr">
        <is>
          <t>WED102501</t>
        </is>
      </c>
      <c r="J107" s="2" t="inlineStr">
        <is>
          <t>P060102</t>
        </is>
      </c>
      <c r="K107" s="2" t="inlineStr">
        <is>
          <t>Wedding Cake</t>
        </is>
      </c>
      <c r="L107" s="2" t="inlineStr">
        <is>
          <t>Ident A + Ident B + Foreign matter</t>
        </is>
      </c>
      <c r="M107" s="6" t="inlineStr">
        <is>
          <t>—</t>
        </is>
      </c>
      <c r="N107" s="2">
        <f>IFERROR(INDEX('CoQ Register'!$B:$B,MATCH("P060102|I",'CoQ Register'!$S:$S,0)),"—")</f>
        <v/>
      </c>
      <c r="O107" s="6" t="inlineStr">
        <is>
          <t>—</t>
        </is>
      </c>
      <c r="P107" s="2" t="inlineStr">
        <is>
          <t>P060102|I</t>
        </is>
      </c>
      <c r="Q107" s="8" t="inlineStr">
        <is>
          <t>not yet issuable — not in icoa_register.py — the register numbers the series and does not carry this round</t>
        </is>
      </c>
    </row>
    <row r="108">
      <c r="A108" s="2" t="inlineStr"/>
      <c r="B108" s="3" t="inlineStr">
        <is>
          <t>— at issue —</t>
        </is>
      </c>
      <c r="C108" s="6" t="inlineStr">
        <is>
          <t>no</t>
        </is>
      </c>
      <c r="D108" s="5">
        <f>IF(A108="","",IF(ISNUMBER(E108),MAX(DATE(2026,6,3),E108),DATE(2026,6,3)))</f>
        <v/>
      </c>
      <c r="E108" s="5">
        <f>IFERROR(INDEX('Batch Dates'!$F:$F,MATCH(J108,'Batch Dates'!$C:$C,0)),IFERROR(INDEX('Batch Dates'!$F:$F,MATCH(I108,'Batch Dates'!$B:$B,0)),""))</f>
        <v/>
      </c>
      <c r="F108" s="5">
        <f>IFERROR(INDEX('Batch Dates'!$G:$G,MATCH(J108,'Batch Dates'!$C:$C,0)),IFERROR(INDEX('Batch Dates'!$G:$G,MATCH(I108,'Batch Dates'!$B:$B,0)),""))</f>
        <v/>
      </c>
      <c r="G108" s="2" t="inlineStr">
        <is>
          <t>legacy</t>
        </is>
      </c>
      <c r="H108" s="2" t="inlineStr">
        <is>
          <t>initial release</t>
        </is>
      </c>
      <c r="I108" s="3" t="inlineStr">
        <is>
          <t>GRC102501</t>
        </is>
      </c>
      <c r="J108" s="2" t="inlineStr">
        <is>
          <t>P060142</t>
        </is>
      </c>
      <c r="K108" s="2" t="inlineStr">
        <is>
          <t>Graps &amp; Creme</t>
        </is>
      </c>
      <c r="L108" s="2" t="inlineStr">
        <is>
          <t>Ident A + Ident B + Foreign matter</t>
        </is>
      </c>
      <c r="M108" s="6" t="inlineStr">
        <is>
          <t>—</t>
        </is>
      </c>
      <c r="N108" s="2">
        <f>IFERROR(INDEX('CoQ Register'!$B:$B,MATCH("P060142|I",'CoQ Register'!$S:$S,0)),"—")</f>
        <v/>
      </c>
      <c r="O108" s="6" t="inlineStr">
        <is>
          <t>—</t>
        </is>
      </c>
      <c r="P108" s="2" t="inlineStr">
        <is>
          <t>P060142|I</t>
        </is>
      </c>
      <c r="Q108" s="8" t="inlineStr">
        <is>
          <t>not yet issuable — not in icoa_register.py — the register numbers the series and does not carry this round</t>
        </is>
      </c>
    </row>
    <row r="109">
      <c r="A109" s="2" t="inlineStr"/>
      <c r="B109" s="3" t="inlineStr">
        <is>
          <t>— at issue —</t>
        </is>
      </c>
      <c r="C109" s="6" t="inlineStr">
        <is>
          <t>no</t>
        </is>
      </c>
      <c r="D109" s="5">
        <f>IF(A109="","",IF(ISNUMBER(E109),MAX(DATE(2026,6,3),E109),DATE(2026,6,3)))</f>
        <v/>
      </c>
      <c r="E109" s="5">
        <f>IFERROR(INDEX('Batch Dates'!$F:$F,MATCH(J109,'Batch Dates'!$C:$C,0)),IFERROR(INDEX('Batch Dates'!$F:$F,MATCH(I109,'Batch Dates'!$B:$B,0)),""))</f>
        <v/>
      </c>
      <c r="F109" s="5">
        <f>IFERROR(INDEX('Batch Dates'!$G:$G,MATCH(J109,'Batch Dates'!$C:$C,0)),IFERROR(INDEX('Batch Dates'!$G:$G,MATCH(I109,'Batch Dates'!$B:$B,0)),""))</f>
        <v/>
      </c>
      <c r="G109" s="2" t="inlineStr">
        <is>
          <t>—</t>
        </is>
      </c>
      <c r="H109" s="2" t="inlineStr">
        <is>
          <t>initial release</t>
        </is>
      </c>
      <c r="I109" s="3" t="inlineStr">
        <is>
          <t>JD112501＊</t>
        </is>
      </c>
      <c r="J109" s="2" t="inlineStr">
        <is>
          <t>N/A — no P batch assigned</t>
        </is>
      </c>
      <c r="K109" s="2" t="inlineStr">
        <is>
          <t>Jelly Donutz</t>
        </is>
      </c>
      <c r="L109" s="2" t="inlineStr">
        <is>
          <t>Ident A + Ident B + Foreign matter</t>
        </is>
      </c>
      <c r="M109" s="6" t="inlineStr">
        <is>
          <t>—</t>
        </is>
      </c>
      <c r="N109" s="2">
        <f>IFERROR(INDEX('CoQ Register'!$B:$B,MATCH("JD112501|I",'CoQ Register'!$S:$S,0)),"—")</f>
        <v/>
      </c>
      <c r="O109" s="2" t="inlineStr">
        <is>
          <t>iCoA-PP-2026-0015</t>
        </is>
      </c>
      <c r="P109" s="2" t="inlineStr">
        <is>
          <t>JD112501|I</t>
        </is>
      </c>
      <c r="Q109" s="8" t="inlineStr">
        <is>
          <t>not yet issuable — no packaging date on the list</t>
        </is>
      </c>
    </row>
    <row r="110">
      <c r="A110" s="2" t="inlineStr"/>
      <c r="B110" s="3" t="inlineStr">
        <is>
          <t>— at issue —</t>
        </is>
      </c>
      <c r="C110" s="6" t="inlineStr">
        <is>
          <t>no</t>
        </is>
      </c>
      <c r="D110" s="5">
        <f>IF(A110="","",IF(ISNUMBER(E110),MAX(DATE(2026,6,3),E110),DATE(2026,6,3)))</f>
        <v/>
      </c>
      <c r="E110" s="5">
        <f>IFERROR(INDEX('Batch Dates'!$F:$F,MATCH(J110,'Batch Dates'!$C:$C,0)),IFERROR(INDEX('Batch Dates'!$F:$F,MATCH(I110,'Batch Dates'!$B:$B,0)),""))</f>
        <v/>
      </c>
      <c r="F110" s="5">
        <f>IFERROR(INDEX('Batch Dates'!$G:$G,MATCH(J110,'Batch Dates'!$C:$C,0)),IFERROR(INDEX('Batch Dates'!$G:$G,MATCH(I110,'Batch Dates'!$B:$B,0)),""))</f>
        <v/>
      </c>
      <c r="G110" s="2" t="inlineStr">
        <is>
          <t>post-SOP</t>
        </is>
      </c>
      <c r="H110" s="2" t="inlineStr">
        <is>
          <t>initial release</t>
        </is>
      </c>
      <c r="I110" s="3" t="inlineStr">
        <is>
          <t>SCR012601*</t>
        </is>
      </c>
      <c r="J110" s="2" t="inlineStr">
        <is>
          <t>P060342</t>
        </is>
      </c>
      <c r="K110" s="2" t="inlineStr">
        <is>
          <t>Scrambler</t>
        </is>
      </c>
      <c r="L110" s="2" t="inlineStr">
        <is>
          <t>Ident A + Ident B + Foreign matter</t>
        </is>
      </c>
      <c r="M110" s="6" t="inlineStr">
        <is>
          <t>—</t>
        </is>
      </c>
      <c r="N110" s="2">
        <f>IFERROR(INDEX('CoQ Register'!$B:$B,MATCH("P060342|I",'CoQ Register'!$S:$S,0)),"—")</f>
        <v/>
      </c>
      <c r="O110" s="6" t="inlineStr">
        <is>
          <t>—</t>
        </is>
      </c>
      <c r="P110" s="2" t="inlineStr">
        <is>
          <t>P060342|I</t>
        </is>
      </c>
      <c r="Q110" s="8" t="inlineStr">
        <is>
          <t>not yet issuable — not in icoa_register.py — the register numbers the series and does not carry this round</t>
        </is>
      </c>
    </row>
    <row r="111">
      <c r="A111" s="2" t="inlineStr"/>
      <c r="B111" s="3" t="inlineStr">
        <is>
          <t>— at issue —</t>
        </is>
      </c>
      <c r="C111" s="6" t="inlineStr">
        <is>
          <t>no</t>
        </is>
      </c>
      <c r="D111" s="5">
        <f>IF(A111="","",IF(ISNUMBER(E111),MAX(DATE(2026,6,3),E111),DATE(2026,6,3)))</f>
        <v/>
      </c>
      <c r="E111" s="5" t="inlineStr">
        <is>
          <t>at retest sampling</t>
        </is>
      </c>
      <c r="F111" s="5">
        <f>IFERROR(INDEX('Batch Dates'!$G:$G,MATCH(J111,'Batch Dates'!$C:$C,0)),IFERROR(INDEX('Batch Dates'!$G:$G,MATCH(I111,'Batch Dates'!$B:$B,0)),""))</f>
        <v/>
      </c>
      <c r="G111" s="2" t="inlineStr">
        <is>
          <t>legacy</t>
        </is>
      </c>
      <c r="H111" s="2" t="inlineStr">
        <is>
          <t>retest — Tranche 1 (sampled July 2026)</t>
        </is>
      </c>
      <c r="I111" s="3" t="inlineStr">
        <is>
          <t>J31102501</t>
        </is>
      </c>
      <c r="J111" s="2" t="inlineStr">
        <is>
          <t>P060152</t>
        </is>
      </c>
      <c r="K111" s="2" t="inlineStr">
        <is>
          <t>Jokerz 31</t>
        </is>
      </c>
      <c r="L111" s="2" t="inlineStr">
        <is>
          <t>Ident A + Ident B + Foreign matter</t>
        </is>
      </c>
      <c r="M111" s="6" t="inlineStr">
        <is>
          <t>—</t>
        </is>
      </c>
      <c r="N111" s="2">
        <f>IFERROR(INDEX('CoQ Register'!$B:$B,MATCH("P060152|R",'CoQ Register'!$S:$S,0)),"—")</f>
        <v/>
      </c>
      <c r="O111" s="6" t="inlineStr">
        <is>
          <t>—</t>
        </is>
      </c>
      <c r="P111" s="2" t="inlineStr">
        <is>
          <t>P060152|R</t>
        </is>
      </c>
      <c r="Q111" s="8" t="inlineStr">
        <is>
          <t>not yet issuable — retest assay on file; identification A, B and foreign matter to test at the retest sampling</t>
        </is>
      </c>
    </row>
    <row r="112">
      <c r="A112" s="2" t="inlineStr"/>
      <c r="B112" s="3" t="inlineStr">
        <is>
          <t>— at issue —</t>
        </is>
      </c>
      <c r="C112" s="6" t="inlineStr">
        <is>
          <t>no</t>
        </is>
      </c>
      <c r="D112" s="5">
        <f>IF(A112="","",IF(ISNUMBER(E112),MAX(DATE(2026,6,3),E112),DATE(2026,6,3)))</f>
        <v/>
      </c>
      <c r="E112" s="5" t="inlineStr">
        <is>
          <t>at retest sampling</t>
        </is>
      </c>
      <c r="F112" s="5">
        <f>IFERROR(INDEX('Batch Dates'!$G:$G,MATCH(J112,'Batch Dates'!$C:$C,0)),IFERROR(INDEX('Batch Dates'!$G:$G,MATCH(I112,'Batch Dates'!$B:$B,0)),""))</f>
        <v/>
      </c>
      <c r="G112" s="2" t="inlineStr">
        <is>
          <t>legacy</t>
        </is>
      </c>
      <c r="H112" s="2" t="inlineStr">
        <is>
          <t>retest — Tranche 1 (sampled July 2026)</t>
        </is>
      </c>
      <c r="I112" s="3" t="inlineStr">
        <is>
          <t>JD112501</t>
        </is>
      </c>
      <c r="J112" s="2" t="inlineStr">
        <is>
          <t>P060212</t>
        </is>
      </c>
      <c r="K112" s="2" t="inlineStr">
        <is>
          <t>Jelly Donutz</t>
        </is>
      </c>
      <c r="L112" s="2" t="inlineStr">
        <is>
          <t>Ident A + Ident B + Foreign matter</t>
        </is>
      </c>
      <c r="M112" s="6" t="inlineStr">
        <is>
          <t>—</t>
        </is>
      </c>
      <c r="N112" s="2">
        <f>IFERROR(INDEX('CoQ Register'!$B:$B,MATCH("P060212|R",'CoQ Register'!$S:$S,0)),"—")</f>
        <v/>
      </c>
      <c r="O112" s="6" t="inlineStr">
        <is>
          <t>—</t>
        </is>
      </c>
      <c r="P112" s="2" t="inlineStr">
        <is>
          <t>P060212|R</t>
        </is>
      </c>
      <c r="Q112" s="8" t="inlineStr">
        <is>
          <t>not yet issuable — retest assay on file; identification A, B and foreign matter to test at the retest sampling</t>
        </is>
      </c>
    </row>
    <row r="113">
      <c r="A113" s="2" t="inlineStr"/>
      <c r="B113" s="3" t="inlineStr">
        <is>
          <t>— at issue —</t>
        </is>
      </c>
      <c r="C113" s="6" t="inlineStr">
        <is>
          <t>no</t>
        </is>
      </c>
      <c r="D113" s="5">
        <f>IF(A113="","",IF(ISNUMBER(E113),MAX(DATE(2026,6,3),E113),DATE(2026,6,3)))</f>
        <v/>
      </c>
      <c r="E113" s="5" t="inlineStr">
        <is>
          <t>at retest sampling</t>
        </is>
      </c>
      <c r="F113" s="5">
        <f>IFERROR(INDEX('Batch Dates'!$G:$G,MATCH(J113,'Batch Dates'!$C:$C,0)),IFERROR(INDEX('Batch Dates'!$G:$G,MATCH(I113,'Batch Dates'!$B:$B,0)),""))</f>
        <v/>
      </c>
      <c r="G113" s="2" t="inlineStr">
        <is>
          <t>post-SOP</t>
        </is>
      </c>
      <c r="H113" s="2" t="inlineStr">
        <is>
          <t>retest — re-analysed</t>
        </is>
      </c>
      <c r="I113" s="3" t="inlineStr">
        <is>
          <t>J31122501</t>
        </is>
      </c>
      <c r="J113" s="2" t="inlineStr">
        <is>
          <t>P060262</t>
        </is>
      </c>
      <c r="K113" s="2" t="inlineStr">
        <is>
          <t>Jokerz 31</t>
        </is>
      </c>
      <c r="L113" s="2" t="inlineStr">
        <is>
          <t>Ident A + Ident B + Foreign matter</t>
        </is>
      </c>
      <c r="M113" s="6" t="inlineStr">
        <is>
          <t>—</t>
        </is>
      </c>
      <c r="N113" s="2">
        <f>IFERROR(INDEX('CoQ Register'!$B:$B,MATCH("P060262|R",'CoQ Register'!$S:$S,0)),"—")</f>
        <v/>
      </c>
      <c r="O113" s="6" t="inlineStr">
        <is>
          <t>—</t>
        </is>
      </c>
      <c r="P113" s="2" t="inlineStr">
        <is>
          <t>P060262|R</t>
        </is>
      </c>
      <c r="Q113" s="8" t="inlineStr">
        <is>
          <t>not yet issuable — retest assay on file; identification A, B and foreign matter to test at the retest sampling</t>
        </is>
      </c>
    </row>
    <row r="114">
      <c r="A114" s="2" t="inlineStr"/>
      <c r="B114" s="3" t="inlineStr">
        <is>
          <t>— at issue —</t>
        </is>
      </c>
      <c r="C114" s="6" t="inlineStr">
        <is>
          <t>no</t>
        </is>
      </c>
      <c r="D114" s="5">
        <f>IF(A114="","",IF(ISNUMBER(E114),MAX(DATE(2026,6,3),E114),DATE(2026,6,3)))</f>
        <v/>
      </c>
      <c r="E114" s="5" t="inlineStr">
        <is>
          <t>at retest sampling</t>
        </is>
      </c>
      <c r="F114" s="5">
        <f>IFERROR(INDEX('Batch Dates'!$G:$G,MATCH(J114,'Batch Dates'!$C:$C,0)),IFERROR(INDEX('Batch Dates'!$G:$G,MATCH(I114,'Batch Dates'!$B:$B,0)),""))</f>
        <v/>
      </c>
      <c r="G114" s="2" t="inlineStr">
        <is>
          <t>legacy</t>
        </is>
      </c>
      <c r="H114" s="2" t="inlineStr">
        <is>
          <t>retest — Tranche 1 (sampled July 2026)</t>
        </is>
      </c>
      <c r="I114" s="3" t="inlineStr">
        <is>
          <t>OPM122501</t>
        </is>
      </c>
      <c r="J114" s="2" t="inlineStr">
        <is>
          <t>P060242</t>
        </is>
      </c>
      <c r="K114" s="2" t="inlineStr">
        <is>
          <t>Orange Punch Mimosa</t>
        </is>
      </c>
      <c r="L114" s="2" t="inlineStr">
        <is>
          <t>Ident A + Ident B + Foreign matter</t>
        </is>
      </c>
      <c r="M114" s="6" t="inlineStr">
        <is>
          <t>—</t>
        </is>
      </c>
      <c r="N114" s="2">
        <f>IFERROR(INDEX('CoQ Register'!$B:$B,MATCH("P060242|R",'CoQ Register'!$S:$S,0)),"—")</f>
        <v/>
      </c>
      <c r="O114" s="6" t="inlineStr">
        <is>
          <t>—</t>
        </is>
      </c>
      <c r="P114" s="2" t="inlineStr">
        <is>
          <t>P060242|R</t>
        </is>
      </c>
      <c r="Q114" s="8" t="inlineStr">
        <is>
          <t>not yet issuable — retest assay on file; identification A, B and foreign matter to test at the retest sampling</t>
        </is>
      </c>
    </row>
    <row r="115">
      <c r="A115" s="2" t="inlineStr"/>
      <c r="B115" s="3" t="inlineStr">
        <is>
          <t>— at issue —</t>
        </is>
      </c>
      <c r="C115" s="6" t="inlineStr">
        <is>
          <t>no</t>
        </is>
      </c>
      <c r="D115" s="5">
        <f>IF(A115="","",IF(ISNUMBER(E115),MAX(DATE(2026,6,3),E115),DATE(2026,6,3)))</f>
        <v/>
      </c>
      <c r="E115" s="5" t="inlineStr">
        <is>
          <t>at retest sampling</t>
        </is>
      </c>
      <c r="F115" s="5">
        <f>IFERROR(INDEX('Batch Dates'!$G:$G,MATCH(J115,'Batch Dates'!$C:$C,0)),IFERROR(INDEX('Batch Dates'!$G:$G,MATCH(I115,'Batch Dates'!$B:$B,0)),""))</f>
        <v/>
      </c>
      <c r="G115" s="2" t="inlineStr">
        <is>
          <t>post-SOP</t>
        </is>
      </c>
      <c r="H115" s="2" t="inlineStr">
        <is>
          <t>retest — re-analysed</t>
        </is>
      </c>
      <c r="I115" s="3" t="inlineStr">
        <is>
          <t>FB012602*</t>
        </is>
      </c>
      <c r="J115" s="2" t="inlineStr">
        <is>
          <t>P060352</t>
        </is>
      </c>
      <c r="K115" s="2" t="inlineStr">
        <is>
          <t>Fat Bastard</t>
        </is>
      </c>
      <c r="L115" s="2" t="inlineStr">
        <is>
          <t>Ident A + Ident B + Foreign matter</t>
        </is>
      </c>
      <c r="M115" s="6" t="inlineStr">
        <is>
          <t>—</t>
        </is>
      </c>
      <c r="N115" s="2">
        <f>IFERROR(INDEX('CoQ Register'!$B:$B,MATCH("P060352|R",'CoQ Register'!$S:$S,0)),"—")</f>
        <v/>
      </c>
      <c r="O115" s="6" t="inlineStr">
        <is>
          <t>—</t>
        </is>
      </c>
      <c r="P115" s="2" t="inlineStr">
        <is>
          <t>P060352|R</t>
        </is>
      </c>
      <c r="Q115" s="8" t="inlineStr">
        <is>
          <t>not yet issuable — retest assay on file; identification A, B and foreign matter to test at the retest sampling</t>
        </is>
      </c>
    </row>
    <row r="116">
      <c r="A116" s="2" t="inlineStr"/>
      <c r="B116" s="3" t="inlineStr">
        <is>
          <t>— at issue —</t>
        </is>
      </c>
      <c r="C116" s="6" t="inlineStr">
        <is>
          <t>no</t>
        </is>
      </c>
      <c r="D116" s="5">
        <f>IF(A116="","",IF(ISNUMBER(E116),MAX(DATE(2026,6,3),E116),DATE(2026,6,3)))</f>
        <v/>
      </c>
      <c r="E116" s="5" t="inlineStr">
        <is>
          <t>at retest sampling</t>
        </is>
      </c>
      <c r="F116" s="5">
        <f>IFERROR(INDEX('Batch Dates'!$G:$G,MATCH(J116,'Batch Dates'!$C:$C,0)),IFERROR(INDEX('Batch Dates'!$G:$G,MATCH(I116,'Batch Dates'!$B:$B,0)),""))</f>
        <v/>
      </c>
      <c r="G116" s="2" t="inlineStr">
        <is>
          <t>post-SOP</t>
        </is>
      </c>
      <c r="H116" s="2" t="inlineStr">
        <is>
          <t>retest — re-analysed</t>
        </is>
      </c>
      <c r="I116" s="3" t="inlineStr">
        <is>
          <t>JD012603</t>
        </is>
      </c>
      <c r="J116" s="2" t="inlineStr">
        <is>
          <t>P060362</t>
        </is>
      </c>
      <c r="K116" s="2" t="inlineStr"/>
      <c r="L116" s="2" t="inlineStr">
        <is>
          <t>Ident A + Ident B + Foreign matter</t>
        </is>
      </c>
      <c r="M116" s="6" t="inlineStr">
        <is>
          <t>—</t>
        </is>
      </c>
      <c r="N116" s="2">
        <f>IFERROR(INDEX('CoQ Register'!$B:$B,MATCH("P060362|R",'CoQ Register'!$S:$S,0)),"—")</f>
        <v/>
      </c>
      <c r="O116" s="6" t="inlineStr">
        <is>
          <t>—</t>
        </is>
      </c>
      <c r="P116" s="2" t="inlineStr">
        <is>
          <t>P060362|R</t>
        </is>
      </c>
      <c r="Q116" s="8" t="inlineStr">
        <is>
          <t>not yet issuable — retest assay on file; identification A, B and foreign matter to test at the retest sampling</t>
        </is>
      </c>
    </row>
    <row r="117">
      <c r="A117" s="2" t="inlineStr"/>
      <c r="B117" s="3" t="inlineStr">
        <is>
          <t>— at issue —</t>
        </is>
      </c>
      <c r="C117" s="6" t="inlineStr">
        <is>
          <t>no</t>
        </is>
      </c>
      <c r="D117" s="5">
        <f>IF(A117="","",IF(ISNUMBER(E117),MAX(DATE(2026,6,3),E117),DATE(2026,6,3)))</f>
        <v/>
      </c>
      <c r="E117" s="5" t="inlineStr">
        <is>
          <t>at retest sampling</t>
        </is>
      </c>
      <c r="F117" s="5">
        <f>IFERROR(INDEX('Batch Dates'!$G:$G,MATCH(J117,'Batch Dates'!$C:$C,0)),IFERROR(INDEX('Batch Dates'!$G:$G,MATCH(I117,'Batch Dates'!$B:$B,0)),""))</f>
        <v/>
      </c>
      <c r="G117" s="2" t="inlineStr">
        <is>
          <t>post-SOP</t>
        </is>
      </c>
      <c r="H117" s="2" t="inlineStr">
        <is>
          <t>retest — re-analysed</t>
        </is>
      </c>
      <c r="I117" s="3" t="inlineStr">
        <is>
          <t>JD012603</t>
        </is>
      </c>
      <c r="J117" s="2" t="inlineStr">
        <is>
          <t>P060422</t>
        </is>
      </c>
      <c r="K117" s="2" t="inlineStr"/>
      <c r="L117" s="2" t="inlineStr">
        <is>
          <t>Ident A + Ident B + Foreign matter</t>
        </is>
      </c>
      <c r="M117" s="6" t="inlineStr">
        <is>
          <t>—</t>
        </is>
      </c>
      <c r="N117" s="2">
        <f>IFERROR(INDEX('CoQ Register'!$B:$B,MATCH("P060422|R",'CoQ Register'!$S:$S,0)),"—")</f>
        <v/>
      </c>
      <c r="O117" s="6" t="inlineStr">
        <is>
          <t>—</t>
        </is>
      </c>
      <c r="P117" s="2" t="inlineStr">
        <is>
          <t>P060422|R</t>
        </is>
      </c>
      <c r="Q117" s="8" t="inlineStr">
        <is>
          <t>not yet issuable — retest assay on file; identification A, B and foreign matter to test at the retest sampling</t>
        </is>
      </c>
    </row>
    <row r="118">
      <c r="A118" s="2" t="inlineStr"/>
      <c r="B118" s="3" t="inlineStr">
        <is>
          <t>— at issue —</t>
        </is>
      </c>
      <c r="C118" s="6" t="inlineStr">
        <is>
          <t>no</t>
        </is>
      </c>
      <c r="D118" s="5">
        <f>IF(A118="","",IF(ISNUMBER(E118),MAX(DATE(2026,6,3),E118),DATE(2026,6,3)))</f>
        <v/>
      </c>
      <c r="E118" s="5" t="inlineStr">
        <is>
          <t>at retest sampling</t>
        </is>
      </c>
      <c r="F118" s="5">
        <f>IFERROR(INDEX('Batch Dates'!$G:$G,MATCH(J118,'Batch Dates'!$C:$C,0)),IFERROR(INDEX('Batch Dates'!$G:$G,MATCH(I118,'Batch Dates'!$B:$B,0)),""))</f>
        <v/>
      </c>
      <c r="G118" s="2" t="inlineStr">
        <is>
          <t>post-SOP</t>
        </is>
      </c>
      <c r="H118" s="2" t="inlineStr">
        <is>
          <t>retest — re-analysed</t>
        </is>
      </c>
      <c r="I118" s="3" t="inlineStr">
        <is>
          <t>GG012603</t>
        </is>
      </c>
      <c r="J118" s="2" t="inlineStr">
        <is>
          <t>P060402</t>
        </is>
      </c>
      <c r="K118" s="2" t="inlineStr">
        <is>
          <t>GorillaGlue</t>
        </is>
      </c>
      <c r="L118" s="2" t="inlineStr">
        <is>
          <t>Ident A + Ident B + Foreign matter</t>
        </is>
      </c>
      <c r="M118" s="6" t="inlineStr">
        <is>
          <t>—</t>
        </is>
      </c>
      <c r="N118" s="2">
        <f>IFERROR(INDEX('CoQ Register'!$B:$B,MATCH("P060402|R",'CoQ Register'!$S:$S,0)),"—")</f>
        <v/>
      </c>
      <c r="O118" s="6" t="inlineStr">
        <is>
          <t>—</t>
        </is>
      </c>
      <c r="P118" s="2" t="inlineStr">
        <is>
          <t>P060402|R</t>
        </is>
      </c>
      <c r="Q118" s="8" t="inlineStr">
        <is>
          <t>not yet issuable — retest assay on file; identification A, B and foreign matter to test at the retest sampling</t>
        </is>
      </c>
    </row>
    <row r="119">
      <c r="A119" s="2" t="inlineStr"/>
      <c r="B119" s="3" t="inlineStr">
        <is>
          <t>— at issue —</t>
        </is>
      </c>
      <c r="C119" s="6" t="inlineStr">
        <is>
          <t>no</t>
        </is>
      </c>
      <c r="D119" s="5">
        <f>IF(A119="","",IF(ISNUMBER(E119),MAX(DATE(2026,6,3),E119),DATE(2026,6,3)))</f>
        <v/>
      </c>
      <c r="E119" s="5" t="inlineStr">
        <is>
          <t>at retest sampling</t>
        </is>
      </c>
      <c r="F119" s="5">
        <f>IFERROR(INDEX('Batch Dates'!$G:$G,MATCH(J119,'Batch Dates'!$C:$C,0)),IFERROR(INDEX('Batch Dates'!$G:$G,MATCH(I119,'Batch Dates'!$B:$B,0)),""))</f>
        <v/>
      </c>
      <c r="G119" s="2" t="inlineStr">
        <is>
          <t>post-SOP</t>
        </is>
      </c>
      <c r="H119" s="2" t="inlineStr">
        <is>
          <t>retest — re-analysed</t>
        </is>
      </c>
      <c r="I119" s="3" t="inlineStr">
        <is>
          <t>JD012603</t>
        </is>
      </c>
      <c r="J119" s="2" t="inlineStr">
        <is>
          <t>P060412</t>
        </is>
      </c>
      <c r="K119" s="2" t="inlineStr"/>
      <c r="L119" s="2" t="inlineStr">
        <is>
          <t>Ident A + Ident B + Foreign matter</t>
        </is>
      </c>
      <c r="M119" s="6" t="inlineStr">
        <is>
          <t>—</t>
        </is>
      </c>
      <c r="N119" s="2">
        <f>IFERROR(INDEX('CoQ Register'!$B:$B,MATCH("P060412|R",'CoQ Register'!$S:$S,0)),"—")</f>
        <v/>
      </c>
      <c r="O119" s="6" t="inlineStr">
        <is>
          <t>—</t>
        </is>
      </c>
      <c r="P119" s="2" t="inlineStr">
        <is>
          <t>P060412|R</t>
        </is>
      </c>
      <c r="Q119" s="8" t="inlineStr">
        <is>
          <t>not yet issuable — retest assay on file; identification A, B and foreign matter to test at the retest sampling</t>
        </is>
      </c>
    </row>
    <row r="120">
      <c r="A120" s="2" t="inlineStr"/>
      <c r="B120" s="3" t="inlineStr">
        <is>
          <t>— at issue —</t>
        </is>
      </c>
      <c r="C120" s="6" t="inlineStr">
        <is>
          <t>no</t>
        </is>
      </c>
      <c r="D120" s="5">
        <f>IF(A120="","",IF(ISNUMBER(E120),MAX(DATE(2026,6,3),E120),DATE(2026,6,3)))</f>
        <v/>
      </c>
      <c r="E120" s="5" t="inlineStr">
        <is>
          <t>at retest sampling</t>
        </is>
      </c>
      <c r="F120" s="5">
        <f>IFERROR(INDEX('Batch Dates'!$G:$G,MATCH(J120,'Batch Dates'!$C:$C,0)),IFERROR(INDEX('Batch Dates'!$G:$G,MATCH(I120,'Batch Dates'!$B:$B,0)),""))</f>
        <v/>
      </c>
      <c r="G120" s="2" t="inlineStr">
        <is>
          <t>post-SOP</t>
        </is>
      </c>
      <c r="H120" s="2" t="inlineStr">
        <is>
          <t>retest — re-analysed</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P060382|R</t>
        </is>
      </c>
      <c r="Q120" s="8" t="inlineStr">
        <is>
          <t>not yet issuable — retest assay on file; identification A, B and foreign matter to test at the retest sampling</t>
        </is>
      </c>
    </row>
    <row r="121">
      <c r="A121" s="2" t="inlineStr"/>
      <c r="B121" s="3" t="inlineStr">
        <is>
          <t>— at issue —</t>
        </is>
      </c>
      <c r="C121" s="6" t="inlineStr">
        <is>
          <t>no</t>
        </is>
      </c>
      <c r="D121" s="5">
        <f>IF(A121="","",IF(ISNUMBER(E121),MAX(DATE(2026,6,3),E121),DATE(2026,6,3)))</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CJ1024</t>
        </is>
      </c>
      <c r="J121" s="2" t="inlineStr">
        <is>
          <t>N/A — no P batch assigned</t>
        </is>
      </c>
      <c r="K121" s="2" t="inlineStr">
        <is>
          <t>Cap Junky</t>
        </is>
      </c>
      <c r="L121" s="2" t="inlineStr">
        <is>
          <t>Ident A + Ident B + Foreign matter</t>
        </is>
      </c>
      <c r="M121" s="6" t="inlineStr">
        <is>
          <t>—</t>
        </is>
      </c>
      <c r="N121" s="2">
        <f>IFERROR(INDEX('CoQ Register'!$B:$B,MATCH("CJ1024|R",'CoQ Register'!$S:$S,0)),"—")</f>
        <v/>
      </c>
      <c r="O121" s="6" t="inlineStr">
        <is>
          <t>—</t>
        </is>
      </c>
      <c r="P121" s="2" t="inlineStr">
        <is>
          <t>CJ1024|R</t>
        </is>
      </c>
      <c r="Q121" s="8" t="inlineStr">
        <is>
          <t>not yet issuable — retest assay not yet on file</t>
        </is>
      </c>
    </row>
    <row r="122">
      <c r="A122" s="2" t="inlineStr"/>
      <c r="B122" s="3" t="inlineStr">
        <is>
          <t>— at issue —</t>
        </is>
      </c>
      <c r="C122" s="6" t="inlineStr">
        <is>
          <t>no</t>
        </is>
      </c>
      <c r="D122" s="5">
        <f>IF(A122="","",IF(ISNUMBER(E122),MAX(DATE(2026,6,3),E122),DATE(2026,6,3)))</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GG1024</t>
        </is>
      </c>
      <c r="J122" s="2" t="inlineStr">
        <is>
          <t>N/A — no P batch assigned</t>
        </is>
      </c>
      <c r="K122" s="2" t="inlineStr">
        <is>
          <t>Gorilla Glue</t>
        </is>
      </c>
      <c r="L122" s="2" t="inlineStr">
        <is>
          <t>Ident A + Ident B + Foreign matter</t>
        </is>
      </c>
      <c r="M122" s="6" t="inlineStr">
        <is>
          <t>—</t>
        </is>
      </c>
      <c r="N122" s="2">
        <f>IFERROR(INDEX('CoQ Register'!$B:$B,MATCH("GG1024|R",'CoQ Register'!$S:$S,0)),"—")</f>
        <v/>
      </c>
      <c r="O122" s="6" t="inlineStr">
        <is>
          <t>—</t>
        </is>
      </c>
      <c r="P122" s="2" t="inlineStr">
        <is>
          <t>GG1024|R</t>
        </is>
      </c>
      <c r="Q122" s="8" t="inlineStr">
        <is>
          <t>not yet issuable — retest assay not yet on file</t>
        </is>
      </c>
    </row>
    <row r="123">
      <c r="A123" s="2" t="inlineStr"/>
      <c r="B123" s="3" t="inlineStr">
        <is>
          <t>— at issue —</t>
        </is>
      </c>
      <c r="C123" s="6" t="inlineStr">
        <is>
          <t>no</t>
        </is>
      </c>
      <c r="D123" s="5">
        <f>IF(A123="","",IF(ISNUMBER(E123),MAX(DATE(2026,6,3),E123),DATE(2026,6,3)))</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GP0824_01</t>
        </is>
      </c>
      <c r="J123" s="2" t="inlineStr">
        <is>
          <t>P050102</t>
        </is>
      </c>
      <c r="K123" s="2" t="inlineStr">
        <is>
          <t>Grape Pie</t>
        </is>
      </c>
      <c r="L123" s="2" t="inlineStr">
        <is>
          <t>Ident A + Ident B + Foreign matter</t>
        </is>
      </c>
      <c r="M123" s="6" t="inlineStr">
        <is>
          <t>—</t>
        </is>
      </c>
      <c r="N123" s="2">
        <f>IFERROR(INDEX('CoQ Register'!$B:$B,MATCH("P050102|R",'CoQ Register'!$S:$S,0)),"—")</f>
        <v/>
      </c>
      <c r="O123" s="6" t="inlineStr">
        <is>
          <t>—</t>
        </is>
      </c>
      <c r="P123" s="2" t="inlineStr">
        <is>
          <t>P050102|R</t>
        </is>
      </c>
      <c r="Q123" s="8" t="inlineStr">
        <is>
          <t>not yet issuable — retest assay not yet on file</t>
        </is>
      </c>
    </row>
    <row r="124">
      <c r="A124" s="2" t="inlineStr"/>
      <c r="B124" s="3" t="inlineStr">
        <is>
          <t>— at issue —</t>
        </is>
      </c>
      <c r="C124" s="6" t="inlineStr">
        <is>
          <t>no</t>
        </is>
      </c>
      <c r="D124" s="5">
        <f>IF(A124="","",IF(ISNUMBER(E124),MAX(DATE(2026,6,3),E124),DATE(2026,6,3)))</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MB0824_04</t>
        </is>
      </c>
      <c r="J124" s="2" t="inlineStr">
        <is>
          <t>P050032</t>
        </is>
      </c>
      <c r="K124" s="2" t="inlineStr">
        <is>
          <t>Motor Breath</t>
        </is>
      </c>
      <c r="L124" s="2" t="inlineStr">
        <is>
          <t>Ident A + Ident B + Foreign matter</t>
        </is>
      </c>
      <c r="M124" s="6" t="inlineStr">
        <is>
          <t>—</t>
        </is>
      </c>
      <c r="N124" s="2">
        <f>IFERROR(INDEX('CoQ Register'!$B:$B,MATCH("P050032|R",'CoQ Register'!$S:$S,0)),"—")</f>
        <v/>
      </c>
      <c r="O124" s="6" t="inlineStr">
        <is>
          <t>—</t>
        </is>
      </c>
      <c r="P124" s="2" t="inlineStr">
        <is>
          <t>P050032|R</t>
        </is>
      </c>
      <c r="Q124" s="8" t="inlineStr">
        <is>
          <t>not yet issuable — retest assay not yet on file</t>
        </is>
      </c>
    </row>
    <row r="125">
      <c r="A125" s="2" t="inlineStr"/>
      <c r="B125" s="3" t="inlineStr">
        <is>
          <t>— at issue —</t>
        </is>
      </c>
      <c r="C125" s="6" t="inlineStr">
        <is>
          <t>no</t>
        </is>
      </c>
      <c r="D125" s="5">
        <f>IF(A125="","",IF(ISNUMBER(E125),MAX(DATE(2026,6,3),E125),DATE(2026,6,3)))</f>
        <v/>
      </c>
      <c r="E125" s="5" t="inlineStr">
        <is>
          <t>at retest sampling</t>
        </is>
      </c>
      <c r="F125" s="5">
        <f>IFERROR(INDEX('Batch Dates'!$G:$G,MATCH(J125,'Batch Dates'!$C:$C,0)),IFERROR(INDEX('Batch Dates'!$G:$G,MATCH(I125,'Batch Dates'!$B:$B,0)),""))</f>
        <v/>
      </c>
      <c r="G125" s="2" t="inlineStr">
        <is>
          <t>legacy</t>
        </is>
      </c>
      <c r="H125" s="2" t="inlineStr">
        <is>
          <t>retest — sampled — Tranche 2/3 (potency and mycotoxins pending)</t>
        </is>
      </c>
      <c r="I125" s="3" t="inlineStr">
        <is>
          <t>GG1024_02</t>
        </is>
      </c>
      <c r="J125" s="2" t="inlineStr">
        <is>
          <t>P050012</t>
        </is>
      </c>
      <c r="K125" s="2" t="inlineStr">
        <is>
          <t>Gorilla Glue</t>
        </is>
      </c>
      <c r="L125" s="2" t="inlineStr">
        <is>
          <t>Ident A + Ident B + Foreign matter</t>
        </is>
      </c>
      <c r="M125" s="6" t="inlineStr">
        <is>
          <t>—</t>
        </is>
      </c>
      <c r="N125" s="2">
        <f>IFERROR(INDEX('CoQ Register'!$B:$B,MATCH("P050012|R",'CoQ Register'!$S:$S,0)),"—")</f>
        <v/>
      </c>
      <c r="O125" s="6" t="inlineStr">
        <is>
          <t>—</t>
        </is>
      </c>
      <c r="P125" s="2" t="inlineStr">
        <is>
          <t>P050012|R</t>
        </is>
      </c>
      <c r="Q125" s="8" t="inlineStr">
        <is>
          <t>not yet issuable — retest assay not yet on file</t>
        </is>
      </c>
    </row>
    <row r="126">
      <c r="A126" s="2" t="inlineStr"/>
      <c r="B126" s="3" t="inlineStr">
        <is>
          <t>— at issue —</t>
        </is>
      </c>
      <c r="C126" s="6" t="inlineStr">
        <is>
          <t>no</t>
        </is>
      </c>
      <c r="D126" s="5">
        <f>IF(A126="","",IF(ISNUMBER(E126),MAX(DATE(2026,6,3),E126),DATE(2026,6,3)))</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OMP1024_01</t>
        </is>
      </c>
      <c r="J126" s="2" t="inlineStr">
        <is>
          <t>P050042</t>
        </is>
      </c>
      <c r="K126" s="2" t="inlineStr">
        <is>
          <t>Orange Punch Mimosa</t>
        </is>
      </c>
      <c r="L126" s="2" t="inlineStr">
        <is>
          <t>Ident A + Ident B + Foreign matter</t>
        </is>
      </c>
      <c r="M126" s="6" t="inlineStr">
        <is>
          <t>—</t>
        </is>
      </c>
      <c r="N126" s="2">
        <f>IFERROR(INDEX('CoQ Register'!$B:$B,MATCH("P050042|R",'CoQ Register'!$S:$S,0)),"—")</f>
        <v/>
      </c>
      <c r="O126" s="6" t="inlineStr">
        <is>
          <t>—</t>
        </is>
      </c>
      <c r="P126" s="2" t="inlineStr">
        <is>
          <t>P050042|R</t>
        </is>
      </c>
      <c r="Q126" s="8" t="inlineStr">
        <is>
          <t>not yet issuable — retest assay not yet on file</t>
        </is>
      </c>
    </row>
    <row r="127">
      <c r="A127" s="2" t="inlineStr"/>
      <c r="B127" s="3" t="inlineStr">
        <is>
          <t>— at issue —</t>
        </is>
      </c>
      <c r="C127" s="6" t="inlineStr">
        <is>
          <t>no</t>
        </is>
      </c>
      <c r="D127" s="5">
        <f>IF(A127="","",IF(ISNUMBER(E127),MAX(DATE(2026,6,3),E127),DATE(2026,6,3)))</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OPM1024_03</t>
        </is>
      </c>
      <c r="J127" s="2" t="inlineStr">
        <is>
          <t>P050082</t>
        </is>
      </c>
      <c r="K127" s="2" t="inlineStr">
        <is>
          <t>Orange Punch Mimosa</t>
        </is>
      </c>
      <c r="L127" s="2" t="inlineStr">
        <is>
          <t>Ident A + Ident B + Foreign matter</t>
        </is>
      </c>
      <c r="M127" s="6" t="inlineStr">
        <is>
          <t>—</t>
        </is>
      </c>
      <c r="N127" s="2">
        <f>IFERROR(INDEX('CoQ Register'!$B:$B,MATCH("P050082|R",'CoQ Register'!$S:$S,0)),"—")</f>
        <v/>
      </c>
      <c r="O127" s="6" t="inlineStr">
        <is>
          <t>—</t>
        </is>
      </c>
      <c r="P127" s="2" t="inlineStr">
        <is>
          <t>P050082|R</t>
        </is>
      </c>
      <c r="Q127" s="8" t="inlineStr">
        <is>
          <t>not yet issuable — retest assay not yet on file</t>
        </is>
      </c>
    </row>
    <row r="128">
      <c r="A128" s="2" t="inlineStr"/>
      <c r="B128" s="3" t="inlineStr">
        <is>
          <t>— at issue —</t>
        </is>
      </c>
      <c r="C128" s="6" t="inlineStr">
        <is>
          <t>no</t>
        </is>
      </c>
      <c r="D128" s="5">
        <f>IF(A128="","",IF(ISNUMBER(E128),MAX(DATE(2026,6,3),E128),DATE(2026,6,3)))</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MB0824_05</t>
        </is>
      </c>
      <c r="J128" s="2" t="inlineStr">
        <is>
          <t>P050112</t>
        </is>
      </c>
      <c r="K128" s="2" t="inlineStr">
        <is>
          <t>Motor Breath</t>
        </is>
      </c>
      <c r="L128" s="2" t="inlineStr">
        <is>
          <t>Ident A + Ident B + Foreign matter</t>
        </is>
      </c>
      <c r="M128" s="6" t="inlineStr">
        <is>
          <t>—</t>
        </is>
      </c>
      <c r="N128" s="2">
        <f>IFERROR(INDEX('CoQ Register'!$B:$B,MATCH("P050112|R",'CoQ Register'!$S:$S,0)),"—")</f>
        <v/>
      </c>
      <c r="O128" s="6" t="inlineStr">
        <is>
          <t>—</t>
        </is>
      </c>
      <c r="P128" s="2" t="inlineStr">
        <is>
          <t>P050112|R</t>
        </is>
      </c>
      <c r="Q128" s="8" t="inlineStr">
        <is>
          <t>not yet issuable — retest assay not yet on file</t>
        </is>
      </c>
    </row>
    <row r="129">
      <c r="A129" s="2" t="inlineStr"/>
      <c r="B129" s="3" t="inlineStr">
        <is>
          <t>— at issue —</t>
        </is>
      </c>
      <c r="C129" s="6" t="inlineStr">
        <is>
          <t>no</t>
        </is>
      </c>
      <c r="D129" s="5">
        <f>IF(A129="","",IF(ISNUMBER(E129),MAX(DATE(2026,6,3),E129),DATE(2026,6,3)))</f>
        <v/>
      </c>
      <c r="E129" s="5" t="inlineStr">
        <is>
          <t>at retest sampling</t>
        </is>
      </c>
      <c r="F129" s="5">
        <f>IFERROR(INDEX('Batch Dates'!$G:$G,MATCH(J129,'Batch Dates'!$C:$C,0)),IFERROR(INDEX('Batch Dates'!$G:$G,MATCH(I129,'Batch Dates'!$B:$B,0)),""))</f>
        <v/>
      </c>
      <c r="G129" s="2" t="inlineStr">
        <is>
          <t>legacy</t>
        </is>
      </c>
      <c r="H129" s="2" t="inlineStr">
        <is>
          <t>retest — sampled — Tranche 2/3 (potency and mycotoxins pending)</t>
        </is>
      </c>
      <c r="I129" s="3" t="inlineStr">
        <is>
          <t>OPM052501</t>
        </is>
      </c>
      <c r="J129" s="2" t="inlineStr">
        <is>
          <t>P050132</t>
        </is>
      </c>
      <c r="K129" s="2" t="inlineStr">
        <is>
          <t>Orange Punch Mimosa</t>
        </is>
      </c>
      <c r="L129" s="2" t="inlineStr">
        <is>
          <t>Ident A + Ident B + Foreign matter</t>
        </is>
      </c>
      <c r="M129" s="6" t="inlineStr">
        <is>
          <t>—</t>
        </is>
      </c>
      <c r="N129" s="2">
        <f>IFERROR(INDEX('CoQ Register'!$B:$B,MATCH("P050132|R",'CoQ Register'!$S:$S,0)),"—")</f>
        <v/>
      </c>
      <c r="O129" s="6" t="inlineStr">
        <is>
          <t>—</t>
        </is>
      </c>
      <c r="P129" s="2" t="inlineStr">
        <is>
          <t>P050132|R</t>
        </is>
      </c>
      <c r="Q129" s="8" t="inlineStr">
        <is>
          <t>not yet issuable — retest assay not yet on file</t>
        </is>
      </c>
    </row>
    <row r="130">
      <c r="A130" s="2" t="inlineStr"/>
      <c r="B130" s="3" t="inlineStr">
        <is>
          <t>— at issue —</t>
        </is>
      </c>
      <c r="C130" s="6" t="inlineStr">
        <is>
          <t>no</t>
        </is>
      </c>
      <c r="D130" s="5">
        <f>IF(A130="","",IF(ISNUMBER(E130),MAX(DATE(2026,6,3),E130),DATE(2026,6,3)))</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CJ052501/02</t>
        </is>
      </c>
      <c r="J130" s="2" t="inlineStr">
        <is>
          <t>P050172</t>
        </is>
      </c>
      <c r="K130" s="2" t="inlineStr">
        <is>
          <t>Cap Junky</t>
        </is>
      </c>
      <c r="L130" s="2" t="inlineStr">
        <is>
          <t>Ident A + Ident B + Foreign matter</t>
        </is>
      </c>
      <c r="M130" s="6" t="inlineStr">
        <is>
          <t>—</t>
        </is>
      </c>
      <c r="N130" s="2">
        <f>IFERROR(INDEX('CoQ Register'!$B:$B,MATCH("P050172|R",'CoQ Register'!$S:$S,0)),"—")</f>
        <v/>
      </c>
      <c r="O130" s="6" t="inlineStr">
        <is>
          <t>—</t>
        </is>
      </c>
      <c r="P130" s="2" t="inlineStr">
        <is>
          <t>P050172|R</t>
        </is>
      </c>
      <c r="Q130" s="8" t="inlineStr">
        <is>
          <t>not yet issuable — retest assay not yet on file</t>
        </is>
      </c>
    </row>
    <row r="131">
      <c r="A131" s="2" t="inlineStr"/>
      <c r="B131" s="3" t="inlineStr">
        <is>
          <t>— at issue —</t>
        </is>
      </c>
      <c r="C131" s="6" t="inlineStr">
        <is>
          <t>no</t>
        </is>
      </c>
      <c r="D131" s="5">
        <f>IF(A131="","",IF(ISNUMBER(E131),MAX(DATE(2026,6,3),E131),DATE(2026,6,3)))</f>
        <v/>
      </c>
      <c r="E131" s="5" t="inlineStr">
        <is>
          <t>at retest sampling</t>
        </is>
      </c>
      <c r="F131" s="5">
        <f>IFERROR(INDEX('Batch Dates'!$G:$G,MATCH(J131,'Batch Dates'!$C:$C,0)),IFERROR(INDEX('Batch Dates'!$G:$G,MATCH(I131,'Batch Dates'!$B:$B,0)),""))</f>
        <v/>
      </c>
      <c r="G131" s="2" t="inlineStr">
        <is>
          <t>legacy</t>
        </is>
      </c>
      <c r="H131" s="2" t="inlineStr">
        <is>
          <t>retest — not yet sampled</t>
        </is>
      </c>
      <c r="I131" s="3" t="inlineStr">
        <is>
          <t>HPA052501</t>
        </is>
      </c>
      <c r="J131" s="2" t="inlineStr">
        <is>
          <t>P050182</t>
        </is>
      </c>
      <c r="K131" s="2" t="inlineStr">
        <is>
          <t>High Pro Amnesia</t>
        </is>
      </c>
      <c r="L131" s="2" t="inlineStr">
        <is>
          <t>Ident A + Ident B + Foreign matter</t>
        </is>
      </c>
      <c r="M131" s="6" t="inlineStr">
        <is>
          <t>—</t>
        </is>
      </c>
      <c r="N131" s="2">
        <f>IFERROR(INDEX('CoQ Register'!$B:$B,MATCH("P050182|R",'CoQ Register'!$S:$S,0)),"—")</f>
        <v/>
      </c>
      <c r="O131" s="6" t="inlineStr">
        <is>
          <t>—</t>
        </is>
      </c>
      <c r="P131" s="2" t="inlineStr">
        <is>
          <t>P050182|R</t>
        </is>
      </c>
      <c r="Q131" s="8" t="inlineStr">
        <is>
          <t>not yet issuable — retest assay not yet on file</t>
        </is>
      </c>
    </row>
    <row r="132">
      <c r="A132" s="2" t="inlineStr"/>
      <c r="B132" s="3" t="inlineStr">
        <is>
          <t>— at issue —</t>
        </is>
      </c>
      <c r="C132" s="6" t="inlineStr">
        <is>
          <t>no</t>
        </is>
      </c>
      <c r="D132" s="5">
        <f>IF(A132="","",IF(ISNUMBER(E132),MAX(DATE(2026,6,3),E132),DATE(2026,6,3)))</f>
        <v/>
      </c>
      <c r="E132" s="5" t="inlineStr">
        <is>
          <t>at retest sampling</t>
        </is>
      </c>
      <c r="F132" s="5">
        <f>IFERROR(INDEX('Batch Dates'!$G:$G,MATCH(J132,'Batch Dates'!$C:$C,0)),IFERROR(INDEX('Batch Dates'!$G:$G,MATCH(I132,'Batch Dates'!$B:$B,0)),""))</f>
        <v/>
      </c>
      <c r="G132" s="2" t="inlineStr">
        <is>
          <t>legacy</t>
        </is>
      </c>
      <c r="H132" s="2" t="inlineStr">
        <is>
          <t>retest — sampled — Tranche 2/3 (potency and mycotoxins pending)</t>
        </is>
      </c>
      <c r="I132" s="3" t="inlineStr">
        <is>
          <t>BSS052501</t>
        </is>
      </c>
      <c r="J132" s="2" t="inlineStr">
        <is>
          <t>P050192</t>
        </is>
      </c>
      <c r="K132" s="2" t="inlineStr">
        <is>
          <t>Sleepy Joe</t>
        </is>
      </c>
      <c r="L132" s="2" t="inlineStr">
        <is>
          <t>Ident A + Ident B + Foreign matter</t>
        </is>
      </c>
      <c r="M132" s="6" t="inlineStr">
        <is>
          <t>—</t>
        </is>
      </c>
      <c r="N132" s="2">
        <f>IFERROR(INDEX('CoQ Register'!$B:$B,MATCH("P050192|R",'CoQ Register'!$S:$S,0)),"—")</f>
        <v/>
      </c>
      <c r="O132" s="6" t="inlineStr">
        <is>
          <t>—</t>
        </is>
      </c>
      <c r="P132" s="2" t="inlineStr">
        <is>
          <t>P050192|R</t>
        </is>
      </c>
      <c r="Q132" s="8" t="inlineStr">
        <is>
          <t>not yet issuable — retest assay not yet on file</t>
        </is>
      </c>
    </row>
    <row r="133">
      <c r="A133" s="2" t="inlineStr"/>
      <c r="B133" s="3" t="inlineStr">
        <is>
          <t>— at issue —</t>
        </is>
      </c>
      <c r="C133" s="6" t="inlineStr">
        <is>
          <t>no</t>
        </is>
      </c>
      <c r="D133" s="5">
        <f>IF(A133="","",IF(ISNUMBER(E133),MAX(DATE(2026,6,3),E133),DATE(2026,6,3)))</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CJ062501/1</t>
        </is>
      </c>
      <c r="J133" s="2" t="inlineStr">
        <is>
          <t>P050222</t>
        </is>
      </c>
      <c r="K133" s="2" t="inlineStr">
        <is>
          <t>Cap Junkie</t>
        </is>
      </c>
      <c r="L133" s="2" t="inlineStr">
        <is>
          <t>Ident A + Ident B + Foreign matter</t>
        </is>
      </c>
      <c r="M133" s="6" t="inlineStr">
        <is>
          <t>—</t>
        </is>
      </c>
      <c r="N133" s="2">
        <f>IFERROR(INDEX('CoQ Register'!$B:$B,MATCH("P050222|R",'CoQ Register'!$S:$S,0)),"—")</f>
        <v/>
      </c>
      <c r="O133" s="6" t="inlineStr">
        <is>
          <t>—</t>
        </is>
      </c>
      <c r="P133" s="2" t="inlineStr">
        <is>
          <t>P050222|R</t>
        </is>
      </c>
      <c r="Q133" s="8" t="inlineStr">
        <is>
          <t>not yet issuable — retest assay not yet on file</t>
        </is>
      </c>
    </row>
    <row r="134">
      <c r="A134" s="2" t="inlineStr"/>
      <c r="B134" s="3" t="inlineStr">
        <is>
          <t>— at issue —</t>
        </is>
      </c>
      <c r="C134" s="6" t="inlineStr">
        <is>
          <t>no</t>
        </is>
      </c>
      <c r="D134" s="5">
        <f>IF(A134="","",IF(ISNUMBER(E134),MAX(DATE(2026,6,3),E134),DATE(2026,6,3)))</f>
        <v/>
      </c>
      <c r="E134" s="5" t="inlineStr">
        <is>
          <t>at retest sampling</t>
        </is>
      </c>
      <c r="F134" s="5">
        <f>IFERROR(INDEX('Batch Dates'!$G:$G,MATCH(J134,'Batch Dates'!$C:$C,0)),IFERROR(INDEX('Batch Dates'!$G:$G,MATCH(I134,'Batch Dates'!$B:$B,0)),""))</f>
        <v/>
      </c>
      <c r="G134" s="2" t="inlineStr">
        <is>
          <t>legacy</t>
        </is>
      </c>
      <c r="H134" s="2" t="inlineStr">
        <is>
          <t>retest — sampled — Tranche 2/3 (potency and mycotoxins pending)</t>
        </is>
      </c>
      <c r="I134" s="3" t="inlineStr">
        <is>
          <t>CJ072501</t>
        </is>
      </c>
      <c r="J134" s="2" t="inlineStr">
        <is>
          <t>P050252</t>
        </is>
      </c>
      <c r="K134" s="2" t="inlineStr">
        <is>
          <t>Cap Junky</t>
        </is>
      </c>
      <c r="L134" s="2" t="inlineStr">
        <is>
          <t>Ident A + Ident B + Foreign matter</t>
        </is>
      </c>
      <c r="M134" s="6" t="inlineStr">
        <is>
          <t>—</t>
        </is>
      </c>
      <c r="N134" s="2">
        <f>IFERROR(INDEX('CoQ Register'!$B:$B,MATCH("P050252|R",'CoQ Register'!$S:$S,0)),"—")</f>
        <v/>
      </c>
      <c r="O134" s="6" t="inlineStr">
        <is>
          <t>—</t>
        </is>
      </c>
      <c r="P134" s="2" t="inlineStr">
        <is>
          <t>P050252|R</t>
        </is>
      </c>
      <c r="Q134" s="8" t="inlineStr">
        <is>
          <t>not yet issuable — retest assay not yet on file</t>
        </is>
      </c>
    </row>
    <row r="135">
      <c r="A135" s="2" t="inlineStr"/>
      <c r="B135" s="3" t="inlineStr">
        <is>
          <t>— at issue —</t>
        </is>
      </c>
      <c r="C135" s="6" t="inlineStr">
        <is>
          <t>no</t>
        </is>
      </c>
      <c r="D135" s="5">
        <f>IF(A135="","",IF(ISNUMBER(E135),MAX(DATE(2026,6,3),E135),DATE(2026,6,3)))</f>
        <v/>
      </c>
      <c r="E135" s="5" t="inlineStr">
        <is>
          <t>at retest sampling</t>
        </is>
      </c>
      <c r="F135" s="5">
        <f>IFERROR(INDEX('Batch Dates'!$G:$G,MATCH(J135,'Batch Dates'!$C:$C,0)),IFERROR(INDEX('Batch Dates'!$G:$G,MATCH(I135,'Batch Dates'!$B:$B,0)),""))</f>
        <v/>
      </c>
      <c r="G135" s="2" t="inlineStr">
        <is>
          <t>legacy</t>
        </is>
      </c>
      <c r="H135" s="2" t="inlineStr">
        <is>
          <t>retest — sampled — Tranche 2/3 (potency and mycotoxins pending)</t>
        </is>
      </c>
      <c r="I135" s="3" t="inlineStr">
        <is>
          <t>WC072501</t>
        </is>
      </c>
      <c r="J135" s="2" t="inlineStr">
        <is>
          <t>P050262</t>
        </is>
      </c>
      <c r="K135" s="2" t="inlineStr">
        <is>
          <t>Wedding Crusher</t>
        </is>
      </c>
      <c r="L135" s="2" t="inlineStr">
        <is>
          <t>Ident A + Ident B + Foreign matter</t>
        </is>
      </c>
      <c r="M135" s="6" t="inlineStr">
        <is>
          <t>—</t>
        </is>
      </c>
      <c r="N135" s="2">
        <f>IFERROR(INDEX('CoQ Register'!$B:$B,MATCH("P050262|R",'CoQ Register'!$S:$S,0)),"—")</f>
        <v/>
      </c>
      <c r="O135" s="6" t="inlineStr">
        <is>
          <t>—</t>
        </is>
      </c>
      <c r="P135" s="2" t="inlineStr">
        <is>
          <t>P050262|R</t>
        </is>
      </c>
      <c r="Q135" s="8" t="inlineStr">
        <is>
          <t>not yet issuable — retest assay not yet on file</t>
        </is>
      </c>
    </row>
    <row r="136">
      <c r="A136" s="2" t="inlineStr"/>
      <c r="B136" s="3" t="inlineStr">
        <is>
          <t>— at issue —</t>
        </is>
      </c>
      <c r="C136" s="6" t="inlineStr">
        <is>
          <t>no</t>
        </is>
      </c>
      <c r="D136" s="5">
        <f>IF(A136="","",IF(ISNUMBER(E136),MAX(DATE(2026,6,3),E136),DATE(2026,6,3)))</f>
        <v/>
      </c>
      <c r="E136" s="5" t="inlineStr">
        <is>
          <t>at retest sampling</t>
        </is>
      </c>
      <c r="F136" s="5">
        <f>IFERROR(INDEX('Batch Dates'!$G:$G,MATCH(J136,'Batch Dates'!$C:$C,0)),IFERROR(INDEX('Batch Dates'!$G:$G,MATCH(I136,'Batch Dates'!$B:$B,0)),""))</f>
        <v/>
      </c>
      <c r="G136" s="2" t="inlineStr">
        <is>
          <t>legacy</t>
        </is>
      </c>
      <c r="H136" s="2" t="inlineStr">
        <is>
          <t>retest — not yet sampled</t>
        </is>
      </c>
      <c r="I136" s="3" t="inlineStr">
        <is>
          <t>CLE072501</t>
        </is>
      </c>
      <c r="J136" s="2" t="inlineStr">
        <is>
          <t>P050282</t>
        </is>
      </c>
      <c r="K136" s="2" t="inlineStr">
        <is>
          <t>Clemosa a bud</t>
        </is>
      </c>
      <c r="L136" s="2" t="inlineStr">
        <is>
          <t>Ident A + Ident B + Foreign matter</t>
        </is>
      </c>
      <c r="M136" s="6" t="inlineStr">
        <is>
          <t>—</t>
        </is>
      </c>
      <c r="N136" s="2">
        <f>IFERROR(INDEX('CoQ Register'!$B:$B,MATCH("P050282|R",'CoQ Register'!$S:$S,0)),"—")</f>
        <v/>
      </c>
      <c r="O136" s="6" t="inlineStr">
        <is>
          <t>—</t>
        </is>
      </c>
      <c r="P136" s="2" t="inlineStr">
        <is>
          <t>P050282|R</t>
        </is>
      </c>
      <c r="Q136" s="8" t="inlineStr">
        <is>
          <t>not yet issuable — retest assay not yet on file</t>
        </is>
      </c>
    </row>
    <row r="137">
      <c r="A137" s="2" t="inlineStr"/>
      <c r="B137" s="3" t="inlineStr">
        <is>
          <t>— at issue —</t>
        </is>
      </c>
      <c r="C137" s="6" t="inlineStr">
        <is>
          <t>no</t>
        </is>
      </c>
      <c r="D137" s="5">
        <f>IF(A137="","",IF(ISNUMBER(E137),MAX(DATE(2026,6,3),E137),DATE(2026,6,3)))</f>
        <v/>
      </c>
      <c r="E137" s="5" t="inlineStr">
        <is>
          <t>at retest sampling</t>
        </is>
      </c>
      <c r="F137" s="5">
        <f>IFERROR(INDEX('Batch Dates'!$G:$G,MATCH(J137,'Batch Dates'!$C:$C,0)),IFERROR(INDEX('Batch Dates'!$G:$G,MATCH(I137,'Batch Dates'!$B:$B,0)),""))</f>
        <v/>
      </c>
      <c r="G137" s="2" t="inlineStr">
        <is>
          <t>legacy</t>
        </is>
      </c>
      <c r="H137" s="2" t="inlineStr">
        <is>
          <t>retest — not yet sampled</t>
        </is>
      </c>
      <c r="I137" s="3" t="inlineStr">
        <is>
          <t>GP072501/2</t>
        </is>
      </c>
      <c r="J137" s="2" t="inlineStr">
        <is>
          <t>P050302</t>
        </is>
      </c>
      <c r="K137" s="2" t="inlineStr">
        <is>
          <t>Grape Pie</t>
        </is>
      </c>
      <c r="L137" s="2" t="inlineStr">
        <is>
          <t>Ident A + Ident B + Foreign matter</t>
        </is>
      </c>
      <c r="M137" s="6" t="inlineStr">
        <is>
          <t>—</t>
        </is>
      </c>
      <c r="N137" s="2">
        <f>IFERROR(INDEX('CoQ Register'!$B:$B,MATCH("P050302|R",'CoQ Register'!$S:$S,0)),"—")</f>
        <v/>
      </c>
      <c r="O137" s="6" t="inlineStr">
        <is>
          <t>—</t>
        </is>
      </c>
      <c r="P137" s="2" t="inlineStr">
        <is>
          <t>P050302|R</t>
        </is>
      </c>
      <c r="Q137" s="8" t="inlineStr">
        <is>
          <t>not yet issuable — retest assay not yet on file</t>
        </is>
      </c>
    </row>
    <row r="138">
      <c r="A138" s="2" t="inlineStr"/>
      <c r="B138" s="3" t="inlineStr">
        <is>
          <t>— at issue —</t>
        </is>
      </c>
      <c r="C138" s="6" t="inlineStr">
        <is>
          <t>no</t>
        </is>
      </c>
      <c r="D138" s="5">
        <f>IF(A138="","",IF(ISNUMBER(E138),MAX(DATE(2026,6,3),E138),DATE(2026,6,3)))</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GP082501/1</t>
        </is>
      </c>
      <c r="J138" s="2" t="inlineStr">
        <is>
          <t>P050312</t>
        </is>
      </c>
      <c r="K138" s="2" t="inlineStr">
        <is>
          <t>Grape Pie</t>
        </is>
      </c>
      <c r="L138" s="2" t="inlineStr">
        <is>
          <t>Ident A + Ident B + Foreign matter</t>
        </is>
      </c>
      <c r="M138" s="6" t="inlineStr">
        <is>
          <t>—</t>
        </is>
      </c>
      <c r="N138" s="2">
        <f>IFERROR(INDEX('CoQ Register'!$B:$B,MATCH("P050312|R",'CoQ Register'!$S:$S,0)),"—")</f>
        <v/>
      </c>
      <c r="O138" s="6" t="inlineStr">
        <is>
          <t>—</t>
        </is>
      </c>
      <c r="P138" s="2" t="inlineStr">
        <is>
          <t>P050312|R</t>
        </is>
      </c>
      <c r="Q138" s="8" t="inlineStr">
        <is>
          <t>not yet issuable — retest assay not yet on file</t>
        </is>
      </c>
    </row>
    <row r="139">
      <c r="A139" s="2" t="inlineStr"/>
      <c r="B139" s="3" t="inlineStr">
        <is>
          <t>— at issue —</t>
        </is>
      </c>
      <c r="C139" s="6" t="inlineStr">
        <is>
          <t>no</t>
        </is>
      </c>
      <c r="D139" s="5">
        <f>IF(A139="","",IF(ISNUMBER(E139),MAX(DATE(2026,6,3),E139),DATE(2026,6,3)))</f>
        <v/>
      </c>
      <c r="E139" s="5" t="inlineStr">
        <is>
          <t>at retest sampling</t>
        </is>
      </c>
      <c r="F139" s="5">
        <f>IFERROR(INDEX('Batch Dates'!$G:$G,MATCH(J139,'Batch Dates'!$C:$C,0)),IFERROR(INDEX('Batch Dates'!$G:$G,MATCH(I139,'Batch Dates'!$B:$B,0)),""))</f>
        <v/>
      </c>
      <c r="G139" s="2" t="inlineStr">
        <is>
          <t>legacy</t>
        </is>
      </c>
      <c r="H139" s="2" t="inlineStr">
        <is>
          <t>retest — not yet sampled</t>
        </is>
      </c>
      <c r="I139" s="3" t="inlineStr">
        <is>
          <t>WC082501</t>
        </is>
      </c>
      <c r="J139" s="2" t="inlineStr">
        <is>
          <t>P060012</t>
        </is>
      </c>
      <c r="K139" s="2" t="inlineStr">
        <is>
          <t>Wedding Crasher</t>
        </is>
      </c>
      <c r="L139" s="2" t="inlineStr">
        <is>
          <t>Ident A + Ident B + Foreign matter</t>
        </is>
      </c>
      <c r="M139" s="6" t="inlineStr">
        <is>
          <t>—</t>
        </is>
      </c>
      <c r="N139" s="2">
        <f>IFERROR(INDEX('CoQ Register'!$B:$B,MATCH("P060012|R",'CoQ Register'!$S:$S,0)),"—")</f>
        <v/>
      </c>
      <c r="O139" s="6" t="inlineStr">
        <is>
          <t>—</t>
        </is>
      </c>
      <c r="P139" s="2" t="inlineStr">
        <is>
          <t>P060012|R</t>
        </is>
      </c>
      <c r="Q139" s="8" t="inlineStr">
        <is>
          <t>not yet issuable — retest assay not yet on file</t>
        </is>
      </c>
    </row>
    <row r="140">
      <c r="A140" s="2" t="inlineStr"/>
      <c r="B140" s="3" t="inlineStr">
        <is>
          <t>— at issue —</t>
        </is>
      </c>
      <c r="C140" s="6" t="inlineStr">
        <is>
          <t>no</t>
        </is>
      </c>
      <c r="D140" s="5">
        <f>IF(A140="","",IF(ISNUMBER(E140),MAX(DATE(2026,6,3),E140),DATE(2026,6,3)))</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CJ082501/1</t>
        </is>
      </c>
      <c r="J140" s="2" t="inlineStr">
        <is>
          <t>P060022</t>
        </is>
      </c>
      <c r="K140" s="2" t="inlineStr">
        <is>
          <t>Cap Junky</t>
        </is>
      </c>
      <c r="L140" s="2" t="inlineStr">
        <is>
          <t>Ident A + Ident B + Foreign matter</t>
        </is>
      </c>
      <c r="M140" s="6" t="inlineStr">
        <is>
          <t>—</t>
        </is>
      </c>
      <c r="N140" s="2">
        <f>IFERROR(INDEX('CoQ Register'!$B:$B,MATCH("P060022|R",'CoQ Register'!$S:$S,0)),"—")</f>
        <v/>
      </c>
      <c r="O140" s="6" t="inlineStr">
        <is>
          <t>—</t>
        </is>
      </c>
      <c r="P140" s="2" t="inlineStr">
        <is>
          <t>P060022|R</t>
        </is>
      </c>
      <c r="Q140" s="8" t="inlineStr">
        <is>
          <t>not yet issuable — retest assay not yet on file</t>
        </is>
      </c>
    </row>
    <row r="141">
      <c r="A141" s="2" t="inlineStr"/>
      <c r="B141" s="3" t="inlineStr">
        <is>
          <t>— at issue —</t>
        </is>
      </c>
      <c r="C141" s="6" t="inlineStr">
        <is>
          <t>no</t>
        </is>
      </c>
      <c r="D141" s="5">
        <f>IF(A141="","",IF(ISNUMBER(E141),MAX(DATE(2026,6,3),E141),DATE(2026,6,3)))</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GP072501/1</t>
        </is>
      </c>
      <c r="J141" s="2" t="inlineStr">
        <is>
          <t>P050292</t>
        </is>
      </c>
      <c r="K141" s="2" t="inlineStr">
        <is>
          <t>Grape Pie</t>
        </is>
      </c>
      <c r="L141" s="2" t="inlineStr">
        <is>
          <t>Ident A + Ident B + Foreign matter</t>
        </is>
      </c>
      <c r="M141" s="6" t="inlineStr">
        <is>
          <t>—</t>
        </is>
      </c>
      <c r="N141" s="2">
        <f>IFERROR(INDEX('CoQ Register'!$B:$B,MATCH("P050292|R",'CoQ Register'!$S:$S,0)),"—")</f>
        <v/>
      </c>
      <c r="O141" s="6" t="inlineStr">
        <is>
          <t>—</t>
        </is>
      </c>
      <c r="P141" s="2" t="inlineStr">
        <is>
          <t>P050292|R</t>
        </is>
      </c>
      <c r="Q141" s="8" t="inlineStr">
        <is>
          <t>not yet issuable — retest assay not yet on file</t>
        </is>
      </c>
    </row>
    <row r="142">
      <c r="A142" s="2" t="inlineStr"/>
      <c r="B142" s="3" t="inlineStr">
        <is>
          <t>— at issue —</t>
        </is>
      </c>
      <c r="C142" s="6" t="inlineStr">
        <is>
          <t>no</t>
        </is>
      </c>
      <c r="D142" s="5">
        <f>IF(A142="","",IF(ISNUMBER(E142),MAX(DATE(2026,6,3),E142),DATE(2026,6,3)))</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PM072501</t>
        </is>
      </c>
      <c r="J142" s="2" t="inlineStr">
        <is>
          <t>P050272</t>
        </is>
      </c>
      <c r="K142" s="2" t="inlineStr">
        <is>
          <t>Permanent Marker</t>
        </is>
      </c>
      <c r="L142" s="2" t="inlineStr">
        <is>
          <t>Ident A + Ident B + Foreign matter</t>
        </is>
      </c>
      <c r="M142" s="6" t="inlineStr">
        <is>
          <t>—</t>
        </is>
      </c>
      <c r="N142" s="2">
        <f>IFERROR(INDEX('CoQ Register'!$B:$B,MATCH("P050272|R",'CoQ Register'!$S:$S,0)),"—")</f>
        <v/>
      </c>
      <c r="O142" s="6" t="inlineStr">
        <is>
          <t>—</t>
        </is>
      </c>
      <c r="P142" s="2" t="inlineStr">
        <is>
          <t>P050272|R</t>
        </is>
      </c>
      <c r="Q142" s="8" t="inlineStr">
        <is>
          <t>not yet issuable — retest assay not yet on file</t>
        </is>
      </c>
    </row>
    <row r="143">
      <c r="A143" s="2" t="inlineStr"/>
      <c r="B143" s="3" t="inlineStr">
        <is>
          <t>— at issue —</t>
        </is>
      </c>
      <c r="C143" s="6" t="inlineStr">
        <is>
          <t>no</t>
        </is>
      </c>
      <c r="D143" s="5">
        <f>IF(A143="","",IF(ISNUMBER(E143),MAX(DATE(2026,6,3),E143),DATE(2026,6,3)))</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OPM092501</t>
        </is>
      </c>
      <c r="J143" s="2" t="inlineStr">
        <is>
          <t>P060042</t>
        </is>
      </c>
      <c r="K143" s="2" t="inlineStr">
        <is>
          <t>Orange Punch Mimosa</t>
        </is>
      </c>
      <c r="L143" s="2" t="inlineStr">
        <is>
          <t>Ident A + Ident B + Foreign matter</t>
        </is>
      </c>
      <c r="M143" s="6" t="inlineStr">
        <is>
          <t>—</t>
        </is>
      </c>
      <c r="N143" s="2">
        <f>IFERROR(INDEX('CoQ Register'!$B:$B,MATCH("P060042|R",'CoQ Register'!$S:$S,0)),"—")</f>
        <v/>
      </c>
      <c r="O143" s="6" t="inlineStr">
        <is>
          <t>—</t>
        </is>
      </c>
      <c r="P143" s="2" t="inlineStr">
        <is>
          <t>P060042|R</t>
        </is>
      </c>
      <c r="Q143" s="8" t="inlineStr">
        <is>
          <t>not yet issuable — retest assay not yet on file</t>
        </is>
      </c>
    </row>
    <row r="144">
      <c r="A144" s="2" t="inlineStr"/>
      <c r="B144" s="3" t="inlineStr">
        <is>
          <t>— at issue —</t>
        </is>
      </c>
      <c r="C144" s="6" t="inlineStr">
        <is>
          <t>no</t>
        </is>
      </c>
      <c r="D144" s="5">
        <f>IF(A144="","",IF(ISNUMBER(E144),MAX(DATE(2026,6,3),E144),DATE(2026,6,3)))</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CJ092501</t>
        </is>
      </c>
      <c r="J144" s="2" t="inlineStr">
        <is>
          <t>P060072</t>
        </is>
      </c>
      <c r="K144" s="2" t="inlineStr">
        <is>
          <t>Cap Junky</t>
        </is>
      </c>
      <c r="L144" s="2" t="inlineStr">
        <is>
          <t>Ident A + Ident B + Foreign matter</t>
        </is>
      </c>
      <c r="M144" s="6" t="inlineStr">
        <is>
          <t>—</t>
        </is>
      </c>
      <c r="N144" s="2">
        <f>IFERROR(INDEX('CoQ Register'!$B:$B,MATCH("P060072|R",'CoQ Register'!$S:$S,0)),"—")</f>
        <v/>
      </c>
      <c r="O144" s="6" t="inlineStr">
        <is>
          <t>—</t>
        </is>
      </c>
      <c r="P144" s="2" t="inlineStr">
        <is>
          <t>P060072|R</t>
        </is>
      </c>
      <c r="Q144" s="8" t="inlineStr">
        <is>
          <t>not yet issuable — retest assay not yet on file</t>
        </is>
      </c>
    </row>
    <row r="145">
      <c r="A145" s="2" t="inlineStr"/>
      <c r="B145" s="3" t="inlineStr">
        <is>
          <t>— at issue —</t>
        </is>
      </c>
      <c r="C145" s="6" t="inlineStr">
        <is>
          <t>no</t>
        </is>
      </c>
      <c r="D145" s="5">
        <f>IF(A145="","",IF(ISNUMBER(E145),MAX(DATE(2026,6,3),E145),DATE(2026,6,3)))</f>
        <v/>
      </c>
      <c r="E145" s="5" t="inlineStr">
        <is>
          <t>at retest sampling</t>
        </is>
      </c>
      <c r="F145" s="5">
        <f>IFERROR(INDEX('Batch Dates'!$G:$G,MATCH(J145,'Batch Dates'!$C:$C,0)),IFERROR(INDEX('Batch Dates'!$G:$G,MATCH(I145,'Batch Dates'!$B:$B,0)),""))</f>
        <v/>
      </c>
      <c r="G145" s="2" t="inlineStr">
        <is>
          <t>legacy</t>
        </is>
      </c>
      <c r="H145" s="2" t="inlineStr">
        <is>
          <t>retest — not yet sampled</t>
        </is>
      </c>
      <c r="I145" s="3" t="inlineStr">
        <is>
          <t>SJ0925021</t>
        </is>
      </c>
      <c r="J145" s="2" t="inlineStr">
        <is>
          <t>P060082</t>
        </is>
      </c>
      <c r="K145" s="2" t="inlineStr"/>
      <c r="L145" s="2" t="inlineStr">
        <is>
          <t>Ident A + Ident B + Foreign matter</t>
        </is>
      </c>
      <c r="M145" s="6" t="inlineStr">
        <is>
          <t>—</t>
        </is>
      </c>
      <c r="N145" s="2">
        <f>IFERROR(INDEX('CoQ Register'!$B:$B,MATCH("P060082|R",'CoQ Register'!$S:$S,0)),"—")</f>
        <v/>
      </c>
      <c r="O145" s="6" t="inlineStr">
        <is>
          <t>—</t>
        </is>
      </c>
      <c r="P145" s="2" t="inlineStr">
        <is>
          <t>P060082|R</t>
        </is>
      </c>
      <c r="Q145" s="8" t="inlineStr">
        <is>
          <t>not yet issuable — retest assay not yet on file</t>
        </is>
      </c>
    </row>
    <row r="146">
      <c r="A146" s="2" t="inlineStr"/>
      <c r="B146" s="3" t="inlineStr">
        <is>
          <t>— at issue —</t>
        </is>
      </c>
      <c r="C146" s="6" t="inlineStr">
        <is>
          <t>no</t>
        </is>
      </c>
      <c r="D146" s="5">
        <f>IF(A146="","",IF(ISNUMBER(E146),MAX(DATE(2026,6,3),E146),DATE(2026,6,3)))</f>
        <v/>
      </c>
      <c r="E146" s="5" t="inlineStr">
        <is>
          <t>at retest sampling</t>
        </is>
      </c>
      <c r="F146" s="5">
        <f>IFERROR(INDEX('Batch Dates'!$G:$G,MATCH(J146,'Batch Dates'!$C:$C,0)),IFERROR(INDEX('Batch Dates'!$G:$G,MATCH(I146,'Batch Dates'!$B:$B,0)),""))</f>
        <v/>
      </c>
      <c r="G146" s="2" t="inlineStr">
        <is>
          <t>legacy</t>
        </is>
      </c>
      <c r="H146" s="2" t="inlineStr">
        <is>
          <t>retest — not yet sampled</t>
        </is>
      </c>
      <c r="I146" s="3" t="inlineStr">
        <is>
          <t>GP092501</t>
        </is>
      </c>
      <c r="J146" s="2" t="inlineStr">
        <is>
          <t>P060092</t>
        </is>
      </c>
      <c r="K146" s="2" t="inlineStr">
        <is>
          <t>Grape Pie</t>
        </is>
      </c>
      <c r="L146" s="2" t="inlineStr">
        <is>
          <t>Ident A + Ident B + Foreign matter</t>
        </is>
      </c>
      <c r="M146" s="6" t="inlineStr">
        <is>
          <t>—</t>
        </is>
      </c>
      <c r="N146" s="2">
        <f>IFERROR(INDEX('CoQ Register'!$B:$B,MATCH("P060092|R",'CoQ Register'!$S:$S,0)),"—")</f>
        <v/>
      </c>
      <c r="O146" s="6" t="inlineStr">
        <is>
          <t>—</t>
        </is>
      </c>
      <c r="P146" s="2" t="inlineStr">
        <is>
          <t>P060092|R</t>
        </is>
      </c>
      <c r="Q146" s="8" t="inlineStr">
        <is>
          <t>not yet issuable — retest assay not yet on file</t>
        </is>
      </c>
    </row>
    <row r="147">
      <c r="A147" s="2" t="inlineStr"/>
      <c r="B147" s="3" t="inlineStr">
        <is>
          <t>— at issue —</t>
        </is>
      </c>
      <c r="C147" s="6" t="inlineStr">
        <is>
          <t>no</t>
        </is>
      </c>
      <c r="D147" s="5">
        <f>IF(A147="","",IF(ISNUMBER(E147),MAX(DATE(2026,6,3),E147),DATE(2026,6,3)))</f>
        <v/>
      </c>
      <c r="E147" s="5" t="inlineStr">
        <is>
          <t>at retest sampling</t>
        </is>
      </c>
      <c r="F147" s="5">
        <f>IFERROR(INDEX('Batch Dates'!$G:$G,MATCH(J147,'Batch Dates'!$C:$C,0)),IFERROR(INDEX('Batch Dates'!$G:$G,MATCH(I147,'Batch Dates'!$B:$B,0)),""))</f>
        <v/>
      </c>
      <c r="G147" s="2" t="inlineStr">
        <is>
          <t>legacy</t>
        </is>
      </c>
      <c r="H147" s="2" t="inlineStr">
        <is>
          <t>retest — sampled — Tranche 2/3 (potency and mycotoxins pending)</t>
        </is>
      </c>
      <c r="I147" s="3" t="inlineStr">
        <is>
          <t>AB092501</t>
        </is>
      </c>
      <c r="J147" s="2" t="inlineStr">
        <is>
          <t>P060052</t>
        </is>
      </c>
      <c r="K147" s="2" t="inlineStr">
        <is>
          <t>Apple and Banana</t>
        </is>
      </c>
      <c r="L147" s="2" t="inlineStr">
        <is>
          <t>Ident A + Ident B + Foreign matter</t>
        </is>
      </c>
      <c r="M147" s="6" t="inlineStr">
        <is>
          <t>—</t>
        </is>
      </c>
      <c r="N147" s="2">
        <f>IFERROR(INDEX('CoQ Register'!$B:$B,MATCH("P060052|R",'CoQ Register'!$S:$S,0)),"—")</f>
        <v/>
      </c>
      <c r="O147" s="6" t="inlineStr">
        <is>
          <t>—</t>
        </is>
      </c>
      <c r="P147" s="2" t="inlineStr">
        <is>
          <t>P060052|R</t>
        </is>
      </c>
      <c r="Q147" s="8" t="inlineStr">
        <is>
          <t>not yet issuable — retest assay not yet on file</t>
        </is>
      </c>
    </row>
    <row r="148">
      <c r="A148" s="2" t="inlineStr"/>
      <c r="B148" s="3" t="inlineStr">
        <is>
          <t>— at issue —</t>
        </is>
      </c>
      <c r="C148" s="6" t="inlineStr">
        <is>
          <t>no</t>
        </is>
      </c>
      <c r="D148" s="5">
        <f>IF(A148="","",IF(ISNUMBER(E148),MAX(DATE(2026,6,3),E148),DATE(2026,6,3)))</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SJ102501</t>
        </is>
      </c>
      <c r="J148" s="2" t="inlineStr">
        <is>
          <t>P060162</t>
        </is>
      </c>
      <c r="K148" s="2" t="inlineStr">
        <is>
          <t>Sleepy Joe</t>
        </is>
      </c>
      <c r="L148" s="2" t="inlineStr">
        <is>
          <t>Ident A + Ident B + Foreign matter</t>
        </is>
      </c>
      <c r="M148" s="6" t="inlineStr">
        <is>
          <t>—</t>
        </is>
      </c>
      <c r="N148" s="2">
        <f>IFERROR(INDEX('CoQ Register'!$B:$B,MATCH("P060162|R",'CoQ Register'!$S:$S,0)),"—")</f>
        <v/>
      </c>
      <c r="O148" s="6" t="inlineStr">
        <is>
          <t>—</t>
        </is>
      </c>
      <c r="P148" s="2" t="inlineStr">
        <is>
          <t>P060162|R</t>
        </is>
      </c>
      <c r="Q148" s="8" t="inlineStr">
        <is>
          <t>not yet issuable — retest assay not yet on file</t>
        </is>
      </c>
    </row>
    <row r="149">
      <c r="A149" s="2" t="inlineStr"/>
      <c r="B149" s="3" t="inlineStr">
        <is>
          <t>— at issue —</t>
        </is>
      </c>
      <c r="C149" s="6" t="inlineStr">
        <is>
          <t>no</t>
        </is>
      </c>
      <c r="D149" s="5">
        <f>IF(A149="","",IF(ISNUMBER(E149),MAX(DATE(2026,6,3),E149),DATE(2026,6,3)))</f>
        <v/>
      </c>
      <c r="E149" s="5" t="inlineStr">
        <is>
          <t>at retest sampling</t>
        </is>
      </c>
      <c r="F149" s="5">
        <f>IFERROR(INDEX('Batch Dates'!$G:$G,MATCH(J149,'Batch Dates'!$C:$C,0)),IFERROR(INDEX('Batch Dates'!$G:$G,MATCH(I149,'Batch Dates'!$B:$B,0)),""))</f>
        <v/>
      </c>
      <c r="G149" s="2" t="inlineStr">
        <is>
          <t>legacy</t>
        </is>
      </c>
      <c r="H149" s="2" t="inlineStr">
        <is>
          <t>retest — not yet sampled</t>
        </is>
      </c>
      <c r="I149" s="3" t="inlineStr">
        <is>
          <t>SJ112501</t>
        </is>
      </c>
      <c r="J149" s="2" t="inlineStr">
        <is>
          <t>P060192</t>
        </is>
      </c>
      <c r="K149" s="2" t="inlineStr">
        <is>
          <t>Sleepy Joy</t>
        </is>
      </c>
      <c r="L149" s="2" t="inlineStr">
        <is>
          <t>Ident A + Ident B + Foreign matter</t>
        </is>
      </c>
      <c r="M149" s="6" t="inlineStr">
        <is>
          <t>—</t>
        </is>
      </c>
      <c r="N149" s="2">
        <f>IFERROR(INDEX('CoQ Register'!$B:$B,MATCH("P060192|R",'CoQ Register'!$S:$S,0)),"—")</f>
        <v/>
      </c>
      <c r="O149" s="6" t="inlineStr">
        <is>
          <t>—</t>
        </is>
      </c>
      <c r="P149" s="2" t="inlineStr">
        <is>
          <t>P060192|R</t>
        </is>
      </c>
      <c r="Q149" s="8" t="inlineStr">
        <is>
          <t>not yet issuable — retest assay not yet on file</t>
        </is>
      </c>
    </row>
    <row r="150">
      <c r="A150" s="2" t="inlineStr"/>
      <c r="B150" s="3" t="inlineStr">
        <is>
          <t>— at issue —</t>
        </is>
      </c>
      <c r="C150" s="6" t="inlineStr">
        <is>
          <t>no</t>
        </is>
      </c>
      <c r="D150" s="5">
        <f>IF(A150="","",IF(ISNUMBER(E150),MAX(DATE(2026,6,3),E150),DATE(2026,6,3)))</f>
        <v/>
      </c>
      <c r="E150" s="5" t="inlineStr">
        <is>
          <t>at retest sampling</t>
        </is>
      </c>
      <c r="F150" s="5">
        <f>IFERROR(INDEX('Batch Dates'!$G:$G,MATCH(J150,'Batch Dates'!$C:$C,0)),IFERROR(INDEX('Batch Dates'!$G:$G,MATCH(I150,'Batch Dates'!$B:$B,0)),""))</f>
        <v/>
      </c>
      <c r="G150" s="2" t="inlineStr">
        <is>
          <t>legacy</t>
        </is>
      </c>
      <c r="H150" s="2" t="inlineStr">
        <is>
          <t>retest — sampled — Tranche 2/3 (potency and mycotoxins pending)</t>
        </is>
      </c>
      <c r="I150" s="3" t="inlineStr">
        <is>
          <t>OPM112501</t>
        </is>
      </c>
      <c r="J150" s="2" t="inlineStr">
        <is>
          <t>P060222</t>
        </is>
      </c>
      <c r="K150" s="2" t="inlineStr">
        <is>
          <t>Orange Punch Mimosa</t>
        </is>
      </c>
      <c r="L150" s="2" t="inlineStr">
        <is>
          <t>Ident A + Ident B + Foreign matter</t>
        </is>
      </c>
      <c r="M150" s="6" t="inlineStr">
        <is>
          <t>—</t>
        </is>
      </c>
      <c r="N150" s="2">
        <f>IFERROR(INDEX('CoQ Register'!$B:$B,MATCH("P060222|R",'CoQ Register'!$S:$S,0)),"—")</f>
        <v/>
      </c>
      <c r="O150" s="6" t="inlineStr">
        <is>
          <t>—</t>
        </is>
      </c>
      <c r="P150" s="2" t="inlineStr">
        <is>
          <t>P060222|R</t>
        </is>
      </c>
      <c r="Q150" s="8" t="inlineStr">
        <is>
          <t>not yet issuable — retest assay not yet on file</t>
        </is>
      </c>
    </row>
    <row r="151">
      <c r="A151" s="2" t="inlineStr"/>
      <c r="B151" s="3" t="inlineStr">
        <is>
          <t>— at issue —</t>
        </is>
      </c>
      <c r="C151" s="6" t="inlineStr">
        <is>
          <t>no</t>
        </is>
      </c>
      <c r="D151" s="5">
        <f>IF(A151="","",IF(ISNUMBER(E151),MAX(DATE(2026,6,3),E151),DATE(2026,6,3)))</f>
        <v/>
      </c>
      <c r="E151" s="5" t="inlineStr">
        <is>
          <t>at retest sampling</t>
        </is>
      </c>
      <c r="F151" s="5">
        <f>IFERROR(INDEX('Batch Dates'!$G:$G,MATCH(J151,'Batch Dates'!$C:$C,0)),IFERROR(INDEX('Batch Dates'!$G:$G,MATCH(I151,'Batch Dates'!$B:$B,0)),""))</f>
        <v/>
      </c>
      <c r="G151" s="2" t="inlineStr">
        <is>
          <t>legacy</t>
        </is>
      </c>
      <c r="H151" s="2" t="inlineStr">
        <is>
          <t>retest — not yet sampled</t>
        </is>
      </c>
      <c r="I151" s="3" t="inlineStr">
        <is>
          <t>KC102501</t>
        </is>
      </c>
      <c r="J151" s="2" t="inlineStr">
        <is>
          <t>P060172</t>
        </is>
      </c>
      <c r="K151" s="2" t="inlineStr">
        <is>
          <t>Kush Crasher</t>
        </is>
      </c>
      <c r="L151" s="2" t="inlineStr">
        <is>
          <t>Ident A + Ident B + Foreign matter</t>
        </is>
      </c>
      <c r="M151" s="6" t="inlineStr">
        <is>
          <t>—</t>
        </is>
      </c>
      <c r="N151" s="2">
        <f>IFERROR(INDEX('CoQ Register'!$B:$B,MATCH("P060172|R",'CoQ Register'!$S:$S,0)),"—")</f>
        <v/>
      </c>
      <c r="O151" s="6" t="inlineStr">
        <is>
          <t>—</t>
        </is>
      </c>
      <c r="P151" s="2" t="inlineStr">
        <is>
          <t>P060172|R</t>
        </is>
      </c>
      <c r="Q151" s="8" t="inlineStr">
        <is>
          <t>not yet issuable — retest assay not yet on file</t>
        </is>
      </c>
    </row>
    <row r="152">
      <c r="A152" s="2" t="inlineStr"/>
      <c r="B152" s="3" t="inlineStr">
        <is>
          <t>— at issue —</t>
        </is>
      </c>
      <c r="C152" s="6" t="inlineStr">
        <is>
          <t>no</t>
        </is>
      </c>
      <c r="D152" s="5">
        <f>IF(A152="","",IF(ISNUMBER(E152),MAX(DATE(2026,6,3),E152),DATE(2026,6,3)))</f>
        <v/>
      </c>
      <c r="E152" s="5" t="inlineStr">
        <is>
          <t>at retest sampling</t>
        </is>
      </c>
      <c r="F152" s="5">
        <f>IFERROR(INDEX('Batch Dates'!$G:$G,MATCH(J152,'Batch Dates'!$C:$C,0)),IFERROR(INDEX('Batch Dates'!$G:$G,MATCH(I152,'Batch Dates'!$B:$B,0)),""))</f>
        <v/>
      </c>
      <c r="G152" s="2" t="inlineStr">
        <is>
          <t>legacy</t>
        </is>
      </c>
      <c r="H152" s="2" t="inlineStr">
        <is>
          <t>retest — sampled — Tranche 2/3 (potency and mycotoxins pending)</t>
        </is>
      </c>
      <c r="I152" s="3" t="inlineStr">
        <is>
          <t>GRC102501</t>
        </is>
      </c>
      <c r="J152" s="2" t="inlineStr">
        <is>
          <t>P060182</t>
        </is>
      </c>
      <c r="K152" s="2" t="inlineStr">
        <is>
          <t>Graps &amp; Creme</t>
        </is>
      </c>
      <c r="L152" s="2" t="inlineStr">
        <is>
          <t>Ident A + Ident B + Foreign matter</t>
        </is>
      </c>
      <c r="M152" s="6" t="inlineStr">
        <is>
          <t>—</t>
        </is>
      </c>
      <c r="N152" s="2">
        <f>IFERROR(INDEX('CoQ Register'!$B:$B,MATCH("P060182|R",'CoQ Register'!$S:$S,0)),"—")</f>
        <v/>
      </c>
      <c r="O152" s="6" t="inlineStr">
        <is>
          <t>—</t>
        </is>
      </c>
      <c r="P152" s="2" t="inlineStr">
        <is>
          <t>P060182|R</t>
        </is>
      </c>
      <c r="Q152" s="8" t="inlineStr">
        <is>
          <t>not yet issuable — retest assay not yet on file</t>
        </is>
      </c>
    </row>
    <row r="153">
      <c r="A153" s="2" t="inlineStr"/>
      <c r="B153" s="3" t="inlineStr">
        <is>
          <t>— at issue —</t>
        </is>
      </c>
      <c r="C153" s="6" t="inlineStr">
        <is>
          <t>no</t>
        </is>
      </c>
      <c r="D153" s="5">
        <f>IF(A153="","",IF(ISNUMBER(E153),MAX(DATE(2026,6,3),E153),DATE(2026,6,3)))</f>
        <v/>
      </c>
      <c r="E153" s="5" t="inlineStr">
        <is>
          <t>at retest sampling</t>
        </is>
      </c>
      <c r="F153" s="5">
        <f>IFERROR(INDEX('Batch Dates'!$G:$G,MATCH(J153,'Batch Dates'!$C:$C,0)),IFERROR(INDEX('Batch Dates'!$G:$G,MATCH(I153,'Batch Dates'!$B:$B,0)),""))</f>
        <v/>
      </c>
      <c r="G153" s="2" t="inlineStr">
        <is>
          <t>—</t>
        </is>
      </c>
      <c r="H153" s="2" t="inlineStr">
        <is>
          <t>retest — not yet sampled</t>
        </is>
      </c>
      <c r="I153" s="3" t="inlineStr">
        <is>
          <t>JD112501＊</t>
        </is>
      </c>
      <c r="J153" s="2" t="inlineStr">
        <is>
          <t>N/A — no P batch assigned</t>
        </is>
      </c>
      <c r="K153" s="2" t="inlineStr">
        <is>
          <t>Jelly Donutz</t>
        </is>
      </c>
      <c r="L153" s="2" t="inlineStr">
        <is>
          <t>Ident A + Ident B + Foreign matter</t>
        </is>
      </c>
      <c r="M153" s="6" t="inlineStr">
        <is>
          <t>—</t>
        </is>
      </c>
      <c r="N153" s="2">
        <f>IFERROR(INDEX('CoQ Register'!$B:$B,MATCH("JD112501|R",'CoQ Register'!$S:$S,0)),"—")</f>
        <v/>
      </c>
      <c r="O153" s="6" t="inlineStr">
        <is>
          <t>—</t>
        </is>
      </c>
      <c r="P153" s="2" t="inlineStr">
        <is>
          <t>JD112501|R</t>
        </is>
      </c>
      <c r="Q153" s="8" t="inlineStr">
        <is>
          <t>not yet issuable — retest assay not yet on file</t>
        </is>
      </c>
    </row>
    <row r="154">
      <c r="A154" s="2" t="inlineStr"/>
      <c r="B154" s="3" t="inlineStr">
        <is>
          <t>— at issue —</t>
        </is>
      </c>
      <c r="C154" s="6" t="inlineStr">
        <is>
          <t>no</t>
        </is>
      </c>
      <c r="D154" s="5">
        <f>IF(A154="","",IF(ISNUMBER(E154),MAX(DATE(2026,6,3),E154),DATE(2026,6,3)))</f>
        <v/>
      </c>
      <c r="E154" s="5" t="inlineStr">
        <is>
          <t>at retest sampling</t>
        </is>
      </c>
      <c r="F154" s="5">
        <f>IFERROR(INDEX('Batch Dates'!$G:$G,MATCH(J154,'Batch Dates'!$C:$C,0)),IFERROR(INDEX('Batch Dates'!$G:$G,MATCH(I154,'Batch Dates'!$B:$B,0)),""))</f>
        <v/>
      </c>
      <c r="G154" s="2" t="inlineStr">
        <is>
          <t>legacy</t>
        </is>
      </c>
      <c r="H154" s="2" t="inlineStr">
        <is>
          <t>retest — not yet sampled</t>
        </is>
      </c>
      <c r="I154" s="3" t="inlineStr">
        <is>
          <t>PM112501</t>
        </is>
      </c>
      <c r="J154" s="2" t="inlineStr">
        <is>
          <t>P060232</t>
        </is>
      </c>
      <c r="K154" s="2" t="inlineStr">
        <is>
          <t>Permanent Market</t>
        </is>
      </c>
      <c r="L154" s="2" t="inlineStr">
        <is>
          <t>Ident A + Ident B + Foreign matter</t>
        </is>
      </c>
      <c r="M154" s="6" t="inlineStr">
        <is>
          <t>—</t>
        </is>
      </c>
      <c r="N154" s="2">
        <f>IFERROR(INDEX('CoQ Register'!$B:$B,MATCH("P060232|R",'CoQ Register'!$S:$S,0)),"—")</f>
        <v/>
      </c>
      <c r="O154" s="6" t="inlineStr">
        <is>
          <t>—</t>
        </is>
      </c>
      <c r="P154" s="2" t="inlineStr">
        <is>
          <t>P060232|R</t>
        </is>
      </c>
      <c r="Q154" s="8" t="inlineStr">
        <is>
          <t>not yet issuable — retest assay not yet on file</t>
        </is>
      </c>
    </row>
    <row r="155">
      <c r="A155" s="2" t="inlineStr"/>
      <c r="B155" s="3" t="inlineStr">
        <is>
          <t>— at issue —</t>
        </is>
      </c>
      <c r="C155" s="6" t="inlineStr">
        <is>
          <t>no</t>
        </is>
      </c>
      <c r="D155" s="5">
        <f>IF(A155="","",IF(ISNUMBER(E155),MAX(DATE(2026,6,3),E155),DATE(2026,6,3)))</f>
        <v/>
      </c>
      <c r="E155" s="5" t="inlineStr">
        <is>
          <t>at retest sampling</t>
        </is>
      </c>
      <c r="F155" s="5">
        <f>IFERROR(INDEX('Batch Dates'!$G:$G,MATCH(J155,'Batch Dates'!$C:$C,0)),IFERROR(INDEX('Batch Dates'!$G:$G,MATCH(I155,'Batch Dates'!$B:$B,0)),""))</f>
        <v/>
      </c>
      <c r="G155" s="2" t="inlineStr">
        <is>
          <t>post-SOP</t>
        </is>
      </c>
      <c r="H155" s="2" t="inlineStr">
        <is>
          <t>retest — sampled — Tranche 2/3 (potency and mycotoxins pending)</t>
        </is>
      </c>
      <c r="I155" s="3" t="inlineStr">
        <is>
          <t>CC112501</t>
        </is>
      </c>
      <c r="J155" s="2" t="inlineStr">
        <is>
          <t>P060272</t>
        </is>
      </c>
      <c r="K155" s="2" t="inlineStr">
        <is>
          <t>Cash Cow</t>
        </is>
      </c>
      <c r="L155" s="2" t="inlineStr">
        <is>
          <t>Ident A + Ident B + Foreign matter</t>
        </is>
      </c>
      <c r="M155" s="6" t="inlineStr">
        <is>
          <t>—</t>
        </is>
      </c>
      <c r="N155" s="2">
        <f>IFERROR(INDEX('CoQ Register'!$B:$B,MATCH("P060272|R",'CoQ Register'!$S:$S,0)),"—")</f>
        <v/>
      </c>
      <c r="O155" s="6" t="inlineStr">
        <is>
          <t>—</t>
        </is>
      </c>
      <c r="P155" s="2" t="inlineStr">
        <is>
          <t>P060272|R</t>
        </is>
      </c>
      <c r="Q155" s="8" t="inlineStr">
        <is>
          <t>not yet issuable — retest assay not yet on file</t>
        </is>
      </c>
    </row>
    <row r="156">
      <c r="A156" s="2" t="inlineStr"/>
      <c r="B156" s="3" t="inlineStr">
        <is>
          <t>— at issue —</t>
        </is>
      </c>
      <c r="C156" s="6" t="inlineStr">
        <is>
          <t>no</t>
        </is>
      </c>
      <c r="D156" s="5">
        <f>IF(A156="","",IF(ISNUMBER(E156),MAX(DATE(2026,6,3),E156),DATE(2026,6,3)))</f>
        <v/>
      </c>
      <c r="E156" s="5" t="inlineStr">
        <is>
          <t>at retest sampling</t>
        </is>
      </c>
      <c r="F156" s="5">
        <f>IFERROR(INDEX('Batch Dates'!$G:$G,MATCH(J156,'Batch Dates'!$C:$C,0)),IFERROR(INDEX('Batch Dates'!$G:$G,MATCH(I156,'Batch Dates'!$B:$B,0)),""))</f>
        <v/>
      </c>
      <c r="G156" s="2" t="inlineStr">
        <is>
          <t>post-SOP</t>
        </is>
      </c>
      <c r="H156" s="2" t="inlineStr">
        <is>
          <t>retest — sampled — Tranche 2/3 (potency and mycotoxins pending)</t>
        </is>
      </c>
      <c r="I156" s="3" t="inlineStr">
        <is>
          <t>FB112501</t>
        </is>
      </c>
      <c r="J156" s="2" t="inlineStr">
        <is>
          <t>P060292</t>
        </is>
      </c>
      <c r="K156" s="2" t="inlineStr">
        <is>
          <t>Fat Bastard</t>
        </is>
      </c>
      <c r="L156" s="2" t="inlineStr">
        <is>
          <t>Ident A + Ident B + Foreign matter</t>
        </is>
      </c>
      <c r="M156" s="6" t="inlineStr">
        <is>
          <t>—</t>
        </is>
      </c>
      <c r="N156" s="2">
        <f>IFERROR(INDEX('CoQ Register'!$B:$B,MATCH("P060292|R",'CoQ Register'!$S:$S,0)),"—")</f>
        <v/>
      </c>
      <c r="O156" s="6" t="inlineStr">
        <is>
          <t>—</t>
        </is>
      </c>
      <c r="P156" s="2" t="inlineStr">
        <is>
          <t>P060292|R</t>
        </is>
      </c>
      <c r="Q156" s="8" t="inlineStr">
        <is>
          <t>not yet issuable — retest assay not yet on file</t>
        </is>
      </c>
    </row>
    <row r="157">
      <c r="A157" s="2" t="inlineStr"/>
      <c r="B157" s="3" t="inlineStr">
        <is>
          <t>— at issue —</t>
        </is>
      </c>
      <c r="C157" s="6" t="inlineStr">
        <is>
          <t>no</t>
        </is>
      </c>
      <c r="D157" s="5">
        <f>IF(A157="","",IF(ISNUMBER(E157),MAX(DATE(2026,6,3),E157),DATE(2026,6,3)))</f>
        <v/>
      </c>
      <c r="E157" s="5" t="inlineStr">
        <is>
          <t>at retest sampling</t>
        </is>
      </c>
      <c r="F157" s="5">
        <f>IFERROR(INDEX('Batch Dates'!$G:$G,MATCH(J157,'Batch Dates'!$C:$C,0)),IFERROR(INDEX('Batch Dates'!$G:$G,MATCH(I157,'Batch Dates'!$B:$B,0)),""))</f>
        <v/>
      </c>
      <c r="G157" s="2" t="inlineStr">
        <is>
          <t>post-SOP</t>
        </is>
      </c>
      <c r="H157" s="2" t="inlineStr">
        <is>
          <t>retest — sampled — Tranche 2/3 (potency and mycotoxins pending)</t>
        </is>
      </c>
      <c r="I157" s="3" t="inlineStr">
        <is>
          <t>GG012601＊</t>
        </is>
      </c>
      <c r="J157" s="2" t="inlineStr">
        <is>
          <t>P060302</t>
        </is>
      </c>
      <c r="K157" s="2" t="inlineStr">
        <is>
          <t>Gorilla Glue</t>
        </is>
      </c>
      <c r="L157" s="2" t="inlineStr">
        <is>
          <t>Ident A + Ident B + Foreign matter</t>
        </is>
      </c>
      <c r="M157" s="6" t="inlineStr">
        <is>
          <t>—</t>
        </is>
      </c>
      <c r="N157" s="2">
        <f>IFERROR(INDEX('CoQ Register'!$B:$B,MATCH("P060302|R",'CoQ Register'!$S:$S,0)),"—")</f>
        <v/>
      </c>
      <c r="O157" s="6" t="inlineStr">
        <is>
          <t>—</t>
        </is>
      </c>
      <c r="P157" s="2" t="inlineStr">
        <is>
          <t>P060302|R</t>
        </is>
      </c>
      <c r="Q157" s="8" t="inlineStr">
        <is>
          <t>not yet issuable — retest assay not yet on file</t>
        </is>
      </c>
    </row>
    <row r="158">
      <c r="A158" s="2" t="inlineStr"/>
      <c r="B158" s="3" t="inlineStr">
        <is>
          <t>— at issue —</t>
        </is>
      </c>
      <c r="C158" s="6" t="inlineStr">
        <is>
          <t>no</t>
        </is>
      </c>
      <c r="D158" s="5">
        <f>IF(A158="","",IF(ISNUMBER(E158),MAX(DATE(2026,6,3),E158),DATE(2026,6,3)))</f>
        <v/>
      </c>
      <c r="E158" s="5" t="inlineStr">
        <is>
          <t>at retest sampling</t>
        </is>
      </c>
      <c r="F158" s="5">
        <f>IFERROR(INDEX('Batch Dates'!$G:$G,MATCH(J158,'Batch Dates'!$C:$C,0)),IFERROR(INDEX('Batch Dates'!$G:$G,MATCH(I158,'Batch Dates'!$B:$B,0)),""))</f>
        <v/>
      </c>
      <c r="G158" s="2" t="inlineStr">
        <is>
          <t>legacy</t>
        </is>
      </c>
      <c r="H158" s="2" t="inlineStr">
        <is>
          <t>retest — sampled — Tranche 2/3 (potency and mycotoxins pending)</t>
        </is>
      </c>
      <c r="I158" s="3" t="inlineStr">
        <is>
          <t>GG112501</t>
        </is>
      </c>
      <c r="J158" s="2" t="inlineStr">
        <is>
          <t>P060252</t>
        </is>
      </c>
      <c r="K158" s="2" t="inlineStr">
        <is>
          <t>Gorilla Glue</t>
        </is>
      </c>
      <c r="L158" s="2" t="inlineStr">
        <is>
          <t>Ident A + Ident B + Foreign matter</t>
        </is>
      </c>
      <c r="M158" s="6" t="inlineStr">
        <is>
          <t>—</t>
        </is>
      </c>
      <c r="N158" s="2">
        <f>IFERROR(INDEX('CoQ Register'!$B:$B,MATCH("P060252|R",'CoQ Register'!$S:$S,0)),"—")</f>
        <v/>
      </c>
      <c r="O158" s="6" t="inlineStr">
        <is>
          <t>—</t>
        </is>
      </c>
      <c r="P158" s="2" t="inlineStr">
        <is>
          <t>P060252|R</t>
        </is>
      </c>
      <c r="Q158" s="8" t="inlineStr">
        <is>
          <t>not yet issuable — retest assay not yet on file</t>
        </is>
      </c>
    </row>
    <row r="159">
      <c r="A159" s="2" t="inlineStr"/>
      <c r="B159" s="3" t="inlineStr">
        <is>
          <t>— at issue —</t>
        </is>
      </c>
      <c r="C159" s="6" t="inlineStr">
        <is>
          <t>no</t>
        </is>
      </c>
      <c r="D159" s="5">
        <f>IF(A159="","",IF(ISNUMBER(E159),MAX(DATE(2026,6,3),E159),DATE(2026,6,3)))</f>
        <v/>
      </c>
      <c r="E159" s="5" t="inlineStr">
        <is>
          <t>at retest sampling</t>
        </is>
      </c>
      <c r="F159" s="5">
        <f>IFERROR(INDEX('Batch Dates'!$G:$G,MATCH(J159,'Batch Dates'!$C:$C,0)),IFERROR(INDEX('Batch Dates'!$G:$G,MATCH(I159,'Batch Dates'!$B:$B,0)),""))</f>
        <v/>
      </c>
      <c r="G159" s="2" t="inlineStr">
        <is>
          <t>post-SOP</t>
        </is>
      </c>
      <c r="H159" s="2" t="inlineStr">
        <is>
          <t>retest — sampled — Tranche 2/3 (potency and mycotoxins pending)</t>
        </is>
      </c>
      <c r="I159" s="3" t="inlineStr">
        <is>
          <t>JD012601＊</t>
        </is>
      </c>
      <c r="J159" s="2" t="inlineStr">
        <is>
          <t>P060312</t>
        </is>
      </c>
      <c r="K159" s="2" t="inlineStr">
        <is>
          <t>Jelly Donutz</t>
        </is>
      </c>
      <c r="L159" s="2" t="inlineStr">
        <is>
          <t>Ident A + Ident B + Foreign matter</t>
        </is>
      </c>
      <c r="M159" s="6" t="inlineStr">
        <is>
          <t>—</t>
        </is>
      </c>
      <c r="N159" s="2">
        <f>IFERROR(INDEX('CoQ Register'!$B:$B,MATCH("P060312|R",'CoQ Register'!$S:$S,0)),"—")</f>
        <v/>
      </c>
      <c r="O159" s="6" t="inlineStr">
        <is>
          <t>—</t>
        </is>
      </c>
      <c r="P159" s="2" t="inlineStr">
        <is>
          <t>P060312|R</t>
        </is>
      </c>
      <c r="Q159" s="8" t="inlineStr">
        <is>
          <t>not yet issuable — retest assay not yet on file</t>
        </is>
      </c>
    </row>
    <row r="160">
      <c r="A160" s="2" t="inlineStr"/>
      <c r="B160" s="3" t="inlineStr">
        <is>
          <t>— at issue —</t>
        </is>
      </c>
      <c r="C160" s="6" t="inlineStr">
        <is>
          <t>no</t>
        </is>
      </c>
      <c r="D160" s="5">
        <f>IF(A160="","",IF(ISNUMBER(E160),MAX(DATE(2026,6,3),E160),DATE(2026,6,3)))</f>
        <v/>
      </c>
      <c r="E160" s="5" t="inlineStr">
        <is>
          <t>at retest sampling</t>
        </is>
      </c>
      <c r="F160" s="5">
        <f>IFERROR(INDEX('Batch Dates'!$G:$G,MATCH(J160,'Batch Dates'!$C:$C,0)),IFERROR(INDEX('Batch Dates'!$G:$G,MATCH(I160,'Batch Dates'!$B:$B,0)),""))</f>
        <v/>
      </c>
      <c r="G160" s="2" t="inlineStr">
        <is>
          <t>post-SOP</t>
        </is>
      </c>
      <c r="H160" s="2" t="inlineStr">
        <is>
          <t>retest — not yet sampled</t>
        </is>
      </c>
      <c r="I160" s="3" t="inlineStr">
        <is>
          <t>SCR112501</t>
        </is>
      </c>
      <c r="J160" s="2" t="inlineStr">
        <is>
          <t>P060282</t>
        </is>
      </c>
      <c r="K160" s="2" t="inlineStr">
        <is>
          <t>Scrambler</t>
        </is>
      </c>
      <c r="L160" s="2" t="inlineStr">
        <is>
          <t>Ident A + Ident B + Foreign matter</t>
        </is>
      </c>
      <c r="M160" s="6" t="inlineStr">
        <is>
          <t>—</t>
        </is>
      </c>
      <c r="N160" s="2">
        <f>IFERROR(INDEX('CoQ Register'!$B:$B,MATCH("P060282|R",'CoQ Register'!$S:$S,0)),"—")</f>
        <v/>
      </c>
      <c r="O160" s="6" t="inlineStr">
        <is>
          <t>—</t>
        </is>
      </c>
      <c r="P160" s="2" t="inlineStr">
        <is>
          <t>P060282|R</t>
        </is>
      </c>
      <c r="Q160" s="8" t="inlineStr">
        <is>
          <t>not yet issuable — retest assay not yet on file</t>
        </is>
      </c>
    </row>
    <row r="161">
      <c r="A161" s="2" t="inlineStr"/>
      <c r="B161" s="3" t="inlineStr">
        <is>
          <t>— at issue —</t>
        </is>
      </c>
      <c r="C161" s="6" t="inlineStr">
        <is>
          <t>no</t>
        </is>
      </c>
      <c r="D161" s="5">
        <f>IF(A161="","",IF(ISNUMBER(E161),MAX(DATE(2026,6,3),E161),DATE(2026,6,3)))</f>
        <v/>
      </c>
      <c r="E161" s="5" t="inlineStr">
        <is>
          <t>at retest sampling</t>
        </is>
      </c>
      <c r="F161" s="5">
        <f>IFERROR(INDEX('Batch Dates'!$G:$G,MATCH(J161,'Batch Dates'!$C:$C,0)),IFERROR(INDEX('Batch Dates'!$G:$G,MATCH(I161,'Batch Dates'!$B:$B,0)),""))</f>
        <v/>
      </c>
      <c r="G161" s="2" t="inlineStr">
        <is>
          <t>post-SOP</t>
        </is>
      </c>
      <c r="H161" s="2" t="inlineStr">
        <is>
          <t>retest — not yet sampled</t>
        </is>
      </c>
      <c r="I161" s="3" t="inlineStr">
        <is>
          <t>FB012601_1</t>
        </is>
      </c>
      <c r="J161" s="2" t="inlineStr">
        <is>
          <t>P060322</t>
        </is>
      </c>
      <c r="K161" s="2" t="inlineStr">
        <is>
          <t>Fat Bastard</t>
        </is>
      </c>
      <c r="L161" s="2" t="inlineStr">
        <is>
          <t>Ident A + Ident B + Foreign matter</t>
        </is>
      </c>
      <c r="M161" s="6" t="inlineStr">
        <is>
          <t>—</t>
        </is>
      </c>
      <c r="N161" s="2">
        <f>IFERROR(INDEX('CoQ Register'!$B:$B,MATCH("P060322|R",'CoQ Register'!$S:$S,0)),"—")</f>
        <v/>
      </c>
      <c r="O161" s="6" t="inlineStr">
        <is>
          <t>—</t>
        </is>
      </c>
      <c r="P161" s="2" t="inlineStr">
        <is>
          <t>P060322|R</t>
        </is>
      </c>
      <c r="Q161" s="8" t="inlineStr">
        <is>
          <t>not yet issuable — retest assay not yet on file</t>
        </is>
      </c>
    </row>
    <row r="162">
      <c r="A162" s="2" t="inlineStr"/>
      <c r="B162" s="3" t="inlineStr">
        <is>
          <t>— at issue —</t>
        </is>
      </c>
      <c r="C162" s="6" t="inlineStr">
        <is>
          <t>no</t>
        </is>
      </c>
      <c r="D162" s="5">
        <f>IF(A162="","",IF(ISNUMBER(E162),MAX(DATE(2026,6,3),E162),DATE(2026,6,3)))</f>
        <v/>
      </c>
      <c r="E162" s="5" t="inlineStr">
        <is>
          <t>at retest sampling</t>
        </is>
      </c>
      <c r="F162" s="5">
        <f>IFERROR(INDEX('Batch Dates'!$G:$G,MATCH(J162,'Batch Dates'!$C:$C,0)),IFERROR(INDEX('Batch Dates'!$G:$G,MATCH(I162,'Batch Dates'!$B:$B,0)),""))</f>
        <v/>
      </c>
      <c r="G162" s="2" t="inlineStr">
        <is>
          <t>post-SOP</t>
        </is>
      </c>
      <c r="H162" s="2" t="inlineStr">
        <is>
          <t>retest — sampled — Tranche 2/3 (potency and mycotoxins pending)</t>
        </is>
      </c>
      <c r="I162" s="3" t="inlineStr">
        <is>
          <t>FB012603</t>
        </is>
      </c>
      <c r="J162" s="2" t="inlineStr">
        <is>
          <t>P060432</t>
        </is>
      </c>
      <c r="K162" s="2" t="inlineStr">
        <is>
          <t>Fat Bastard</t>
        </is>
      </c>
      <c r="L162" s="2" t="inlineStr">
        <is>
          <t>Ident A + Ident B + Foreign matter</t>
        </is>
      </c>
      <c r="M162" s="6" t="inlineStr">
        <is>
          <t>—</t>
        </is>
      </c>
      <c r="N162" s="2">
        <f>IFERROR(INDEX('CoQ Register'!$B:$B,MATCH("P060432|R",'CoQ Register'!$S:$S,0)),"—")</f>
        <v/>
      </c>
      <c r="O162" s="6" t="inlineStr">
        <is>
          <t>—</t>
        </is>
      </c>
      <c r="P162" s="2" t="inlineStr">
        <is>
          <t>P060432|R</t>
        </is>
      </c>
      <c r="Q162" s="8" t="inlineStr">
        <is>
          <t>not yet issuable — retest assay not yet on file</t>
        </is>
      </c>
    </row>
    <row r="163">
      <c r="A163" s="2" t="inlineStr"/>
      <c r="B163" s="3" t="inlineStr">
        <is>
          <t>— at issue —</t>
        </is>
      </c>
      <c r="C163" s="6" t="inlineStr">
        <is>
          <t>no</t>
        </is>
      </c>
      <c r="D163" s="5">
        <f>IF(A163="","",IF(ISNUMBER(E163),MAX(DATE(2026,6,3),E163),DATE(2026,6,3)))</f>
        <v/>
      </c>
      <c r="E163" s="5" t="inlineStr">
        <is>
          <t>at retest sampling</t>
        </is>
      </c>
      <c r="F163" s="5">
        <f>IFERROR(INDEX('Batch Dates'!$G:$G,MATCH(J163,'Batch Dates'!$C:$C,0)),IFERROR(INDEX('Batch Dates'!$G:$G,MATCH(I163,'Batch Dates'!$B:$B,0)),""))</f>
        <v/>
      </c>
      <c r="G163" s="2" t="inlineStr">
        <is>
          <t>post-SOP</t>
        </is>
      </c>
      <c r="H163" s="2" t="inlineStr">
        <is>
          <t>retest — sampled — Tranche 2/3 (potency and mycotoxins pending)</t>
        </is>
      </c>
      <c r="I163" s="3" t="inlineStr">
        <is>
          <t>FB012603V</t>
        </is>
      </c>
      <c r="J163" s="2" t="inlineStr">
        <is>
          <t>P060392</t>
        </is>
      </c>
      <c r="K163" s="2" t="inlineStr">
        <is>
          <t>Fat Bastard</t>
        </is>
      </c>
      <c r="L163" s="2" t="inlineStr">
        <is>
          <t>Ident A + Ident B + Foreign matter</t>
        </is>
      </c>
      <c r="M163" s="6" t="inlineStr">
        <is>
          <t>—</t>
        </is>
      </c>
      <c r="N163" s="2">
        <f>IFERROR(INDEX('CoQ Register'!$B:$B,MATCH("P060392|R",'CoQ Register'!$S:$S,0)),"—")</f>
        <v/>
      </c>
      <c r="O163" s="6" t="inlineStr">
        <is>
          <t>—</t>
        </is>
      </c>
      <c r="P163" s="2" t="inlineStr">
        <is>
          <t>P060392|R</t>
        </is>
      </c>
      <c r="Q163" s="8" t="inlineStr">
        <is>
          <t>not yet issuable — retest assay not yet on file</t>
        </is>
      </c>
    </row>
    <row r="164">
      <c r="A164" s="2" t="inlineStr"/>
      <c r="B164" s="3" t="inlineStr">
        <is>
          <t>— at issue —</t>
        </is>
      </c>
      <c r="C164" s="6" t="inlineStr">
        <is>
          <t>no</t>
        </is>
      </c>
      <c r="D164" s="5">
        <f>IF(A164="","",IF(ISNUMBER(E164),MAX(DATE(2026,6,3),E164),DATE(2026,6,3)))</f>
        <v/>
      </c>
      <c r="E164" s="5" t="inlineStr">
        <is>
          <t>at retest sampling</t>
        </is>
      </c>
      <c r="F164" s="5">
        <f>IFERROR(INDEX('Batch Dates'!$G:$G,MATCH(J164,'Batch Dates'!$C:$C,0)),IFERROR(INDEX('Batch Dates'!$G:$G,MATCH(I164,'Batch Dates'!$B:$B,0)),""))</f>
        <v/>
      </c>
      <c r="G164" s="2" t="inlineStr">
        <is>
          <t>post-SOP</t>
        </is>
      </c>
      <c r="H164" s="2" t="inlineStr">
        <is>
          <t>retest — not yet sampled</t>
        </is>
      </c>
      <c r="I164" s="3" t="inlineStr">
        <is>
          <t>JD022601</t>
        </is>
      </c>
      <c r="J164" s="2" t="inlineStr">
        <is>
          <t>P060482</t>
        </is>
      </c>
      <c r="K164" s="2" t="inlineStr">
        <is>
          <t>JellyDonutz</t>
        </is>
      </c>
      <c r="L164" s="2" t="inlineStr">
        <is>
          <t>Ident A + Ident B + Foreign matter</t>
        </is>
      </c>
      <c r="M164" s="6" t="inlineStr">
        <is>
          <t>—</t>
        </is>
      </c>
      <c r="N164" s="2">
        <f>IFERROR(INDEX('CoQ Register'!$B:$B,MATCH("P060482|R",'CoQ Register'!$S:$S,0)),"—")</f>
        <v/>
      </c>
      <c r="O164" s="6" t="inlineStr">
        <is>
          <t>—</t>
        </is>
      </c>
      <c r="P164" s="2" t="inlineStr">
        <is>
          <t>P060482|R</t>
        </is>
      </c>
      <c r="Q164" s="8" t="inlineStr">
        <is>
          <t>not yet issuable — retest assay not yet on file</t>
        </is>
      </c>
    </row>
    <row r="165">
      <c r="A165" s="2" t="inlineStr"/>
      <c r="B165" s="3" t="inlineStr">
        <is>
          <t>— at issue —</t>
        </is>
      </c>
      <c r="C165" s="6" t="inlineStr">
        <is>
          <t>no</t>
        </is>
      </c>
      <c r="D165" s="5">
        <f>IF(A165="","",IF(ISNUMBER(E165),MAX(DATE(2026,6,3),E165),DATE(2026,6,3)))</f>
        <v/>
      </c>
      <c r="E165" s="5" t="inlineStr">
        <is>
          <t>at retest sampling</t>
        </is>
      </c>
      <c r="F165" s="5">
        <f>IFERROR(INDEX('Batch Dates'!$G:$G,MATCH(J165,'Batch Dates'!$C:$C,0)),IFERROR(INDEX('Batch Dates'!$G:$G,MATCH(I165,'Batch Dates'!$B:$B,0)),""))</f>
        <v/>
      </c>
      <c r="G165" s="2" t="inlineStr">
        <is>
          <t>post-SOP</t>
        </is>
      </c>
      <c r="H165" s="2" t="inlineStr">
        <is>
          <t>retest — sampled — Tranche 2/3 (potency and mycotoxins pending)</t>
        </is>
      </c>
      <c r="I165" s="3" t="inlineStr">
        <is>
          <t>SCR022601</t>
        </is>
      </c>
      <c r="J165" s="2" t="inlineStr">
        <is>
          <t>P060442</t>
        </is>
      </c>
      <c r="K165" s="2" t="inlineStr">
        <is>
          <t>Scrambler</t>
        </is>
      </c>
      <c r="L165" s="2" t="inlineStr">
        <is>
          <t>Ident A + Ident B + Foreign matter</t>
        </is>
      </c>
      <c r="M165" s="6" t="inlineStr">
        <is>
          <t>—</t>
        </is>
      </c>
      <c r="N165" s="2">
        <f>IFERROR(INDEX('CoQ Register'!$B:$B,MATCH("P060442|R",'CoQ Register'!$S:$S,0)),"—")</f>
        <v/>
      </c>
      <c r="O165" s="6" t="inlineStr">
        <is>
          <t>—</t>
        </is>
      </c>
      <c r="P165" s="2" t="inlineStr">
        <is>
          <t>P060442|R</t>
        </is>
      </c>
      <c r="Q165" s="8" t="inlineStr">
        <is>
          <t>not yet issuable — retest assay not yet on file</t>
        </is>
      </c>
    </row>
    <row r="166">
      <c r="A166" s="2" t="inlineStr"/>
      <c r="B166" s="3" t="inlineStr">
        <is>
          <t>— at issue —</t>
        </is>
      </c>
      <c r="C166" s="6" t="inlineStr">
        <is>
          <t>no</t>
        </is>
      </c>
      <c r="D166" s="5">
        <f>IF(A166="","",IF(ISNUMBER(E166),MAX(DATE(2026,6,3),E166),DATE(2026,6,3)))</f>
        <v/>
      </c>
      <c r="E166" s="5" t="inlineStr">
        <is>
          <t>at retest sampling</t>
        </is>
      </c>
      <c r="F166" s="5">
        <f>IFERROR(INDEX('Batch Dates'!$G:$G,MATCH(J166,'Batch Dates'!$C:$C,0)),IFERROR(INDEX('Batch Dates'!$G:$G,MATCH(I166,'Batch Dates'!$B:$B,0)),""))</f>
        <v/>
      </c>
      <c r="G166" s="2" t="inlineStr">
        <is>
          <t>post-SOP</t>
        </is>
      </c>
      <c r="H166" s="2" t="inlineStr">
        <is>
          <t>retest — not yet sampled</t>
        </is>
      </c>
      <c r="I166" s="3" t="inlineStr">
        <is>
          <t>FB032601</t>
        </is>
      </c>
      <c r="J166" s="2" t="inlineStr">
        <is>
          <t>P060452</t>
        </is>
      </c>
      <c r="K166" s="2" t="inlineStr">
        <is>
          <t>FatBastard</t>
        </is>
      </c>
      <c r="L166" s="2" t="inlineStr">
        <is>
          <t>Ident A + Ident B + Foreign matter</t>
        </is>
      </c>
      <c r="M166" s="6" t="inlineStr">
        <is>
          <t>—</t>
        </is>
      </c>
      <c r="N166" s="2">
        <f>IFERROR(INDEX('CoQ Register'!$B:$B,MATCH("P060452|R",'CoQ Register'!$S:$S,0)),"—")</f>
        <v/>
      </c>
      <c r="O166" s="6" t="inlineStr">
        <is>
          <t>—</t>
        </is>
      </c>
      <c r="P166" s="2" t="inlineStr">
        <is>
          <t>P060452|R</t>
        </is>
      </c>
      <c r="Q166" s="8" t="inlineStr">
        <is>
          <t>not yet issuable — retest assay not yet on file</t>
        </is>
      </c>
    </row>
    <row r="167">
      <c r="A167" s="2" t="inlineStr"/>
      <c r="B167" s="3" t="inlineStr">
        <is>
          <t>— at issue —</t>
        </is>
      </c>
      <c r="C167" s="6" t="inlineStr">
        <is>
          <t>no</t>
        </is>
      </c>
      <c r="D167" s="5">
        <f>IF(A167="","",IF(ISNUMBER(E167),MAX(DATE(2026,6,3),E167),DATE(2026,6,3)))</f>
        <v/>
      </c>
      <c r="E167" s="5" t="inlineStr">
        <is>
          <t>at retest sampling</t>
        </is>
      </c>
      <c r="F167" s="5">
        <f>IFERROR(INDEX('Batch Dates'!$G:$G,MATCH(J167,'Batch Dates'!$C:$C,0)),IFERROR(INDEX('Batch Dates'!$G:$G,MATCH(I167,'Batch Dates'!$B:$B,0)),""))</f>
        <v/>
      </c>
      <c r="G167" s="2" t="inlineStr">
        <is>
          <t>post-SOP</t>
        </is>
      </c>
      <c r="H167" s="2" t="inlineStr">
        <is>
          <t>retest — not yet sampled</t>
        </is>
      </c>
      <c r="I167" s="3" t="inlineStr">
        <is>
          <t>GG032601</t>
        </is>
      </c>
      <c r="J167" s="2" t="inlineStr">
        <is>
          <t>P060462</t>
        </is>
      </c>
      <c r="K167" s="2" t="inlineStr">
        <is>
          <t>GorillaGlue</t>
        </is>
      </c>
      <c r="L167" s="2" t="inlineStr">
        <is>
          <t>Ident A + Ident B + Foreign matter</t>
        </is>
      </c>
      <c r="M167" s="6" t="inlineStr">
        <is>
          <t>—</t>
        </is>
      </c>
      <c r="N167" s="2">
        <f>IFERROR(INDEX('CoQ Register'!$B:$B,MATCH("P060462|R",'CoQ Register'!$S:$S,0)),"—")</f>
        <v/>
      </c>
      <c r="O167" s="6" t="inlineStr">
        <is>
          <t>—</t>
        </is>
      </c>
      <c r="P167" s="2" t="inlineStr">
        <is>
          <t>P060462|R</t>
        </is>
      </c>
      <c r="Q167" s="8" t="inlineStr">
        <is>
          <t>not yet issuable — retest assay not yet on file</t>
        </is>
      </c>
    </row>
    <row r="169" ht="110" customHeight="1">
      <c r="A169" s="10"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iCoA Issuance sheet and the tracker's in-house cells cite this register by Key, so they follow it. Working days are Monday to Friday; public holidays are not applied.</t>
        </is>
      </c>
    </row>
  </sheetData>
  <mergeCells count="1">
    <mergeCell ref="A169:Q169"/>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Register'!$P:$P,0)),0),0)))</f>
        <v/>
      </c>
      <c r="E2" s="5">
        <f>IF(ISNUMBER(F2),MAX(DATE(2026,6,6),F2+7),DATE(2026,6,6))</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Register'!$P:$P,0)),0),0)))</f>
        <v/>
      </c>
      <c r="E3" s="5">
        <f>IF(ISNUMBER(F3),MAX(DATE(2026,6,6),F3+7),DATE(2026,6,6))</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Register'!$P:$P,0)),0),0)))</f>
        <v/>
      </c>
      <c r="E4" s="5">
        <f>IF(ISNUMBER(F4),MAX(DATE(2026,6,6),F4+7),DATE(2026,6,6))</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Register'!$P:$P,0)),0),0)))</f>
        <v/>
      </c>
      <c r="E5" s="5">
        <f>IF(ISNUMBER(F5),MAX(DATE(2026,6,6),F5+7),DATE(2026,6,6))</f>
        <v/>
      </c>
      <c r="F5" s="5" t="inlineStr">
        <is>
          <t>—</t>
        </is>
      </c>
      <c r="G5" s="2" t="inlineStr">
        <is>
          <t>—</t>
        </is>
      </c>
      <c r="H5" s="2">
        <f>IFERROR(INDEX('iCoA Register'!$B:$B,MATCH("HPA1024|I",'iCoA Register'!$P:$P,0)),"—")</f>
        <v/>
      </c>
      <c r="I5" s="5">
        <f>IFERROR(INDEX('iCoA Register'!$D:$D,MATCH("HPA1024|I",'iCoA Register'!$P:$P,0)),"")</f>
        <v/>
      </c>
      <c r="J5" s="2" t="inlineStr">
        <is>
          <t>legacy</t>
        </is>
      </c>
      <c r="K5" s="2" t="inlineStr">
        <is>
          <t>initial release</t>
        </is>
      </c>
      <c r="L5" s="3" t="inlineStr">
        <is>
          <t>HPA1024</t>
        </is>
      </c>
      <c r="M5" s="2" t="inlineStr">
        <is>
          <t>N/A — no P batch assigned</t>
        </is>
      </c>
      <c r="N5" s="2" t="inlineStr">
        <is>
          <t>HighProAmnesia</t>
        </is>
      </c>
      <c r="O5" s="6" t="inlineStr">
        <is>
          <t>— no cannabinoid certificate from the initial testing —</t>
        </is>
      </c>
      <c r="P5" s="6" t="inlineStr">
        <is>
          <t>—</t>
        </is>
      </c>
      <c r="Q5" s="2" t="inlineStr">
        <is>
          <t>—</t>
        </is>
      </c>
      <c r="R5" s="2" t="inlineStr">
        <is>
          <t>CoQ-PP-2025-0004</t>
        </is>
      </c>
      <c r="S5" s="2" t="inlineStr">
        <is>
          <t>HPA1024|I</t>
        </is>
      </c>
      <c r="T5" s="7" t="inlineStr">
        <is>
          <t>registered — legacy series, issued 27.05.2026 · initial certificate to locate: #3 (CNP), #4 (CNP), #5 (CNP), #6 (CNP), #8 (CNP), #9 (IJZ), #10 (CNP), #11 (CNP), #12 (CNP)</t>
        </is>
      </c>
    </row>
    <row r="6">
      <c r="A6" s="2">
        <f>IF(C6="yes",COUNT(A$1:A5)+1,"")</f>
        <v/>
      </c>
      <c r="B6" s="3">
        <f>IF(A6&lt;&gt;"","CoQ-PP_26-"&amp;TEXT(A6,"000"),"— at issue —")</f>
        <v/>
      </c>
      <c r="C6" s="4" t="inlineStr">
        <is>
          <t>yes</t>
        </is>
      </c>
      <c r="D6" s="5">
        <f>IF(A6="","",MAX(E6,IF(ISNUMBER(I6),I6,0),IFERROR(IF(ISNUMBER(INDEX('iCoA Register'!$F:$F,MATCH(S6,'iCoA Register'!$P:$P,0))),INDEX('iCoA Register'!$F:$F,MATCH(S6,'iCoA Register'!$P:$P,0)),0),0)))</f>
        <v/>
      </c>
      <c r="E6" s="5">
        <f>IF(ISNUMBER(F6),MAX(DATE(2026,6,6),F6+7),DATE(2026,6,6))</f>
        <v/>
      </c>
      <c r="F6" s="5" t="inlineStr">
        <is>
          <t>—</t>
        </is>
      </c>
      <c r="G6" s="2" t="inlineStr">
        <is>
          <t>—</t>
        </is>
      </c>
      <c r="H6" s="2">
        <f>IFERROR(INDEX('iCoA Register'!$B:$B,MATCH("OPM1024|I",'iCoA Register'!$P:$P,0)),"—")</f>
        <v/>
      </c>
      <c r="I6" s="5">
        <f>IFERROR(INDEX('iCoA Register'!$D:$D,MATCH("OPM1024|I",'iCoA Register'!$P:$P,0)),"")</f>
        <v/>
      </c>
      <c r="J6" s="2" t="inlineStr">
        <is>
          <t>legacy</t>
        </is>
      </c>
      <c r="K6" s="2" t="inlineStr">
        <is>
          <t>initial release</t>
        </is>
      </c>
      <c r="L6" s="3" t="inlineStr">
        <is>
          <t>OPM1024</t>
        </is>
      </c>
      <c r="M6" s="2" t="inlineStr">
        <is>
          <t>N/A — no P batch assigned</t>
        </is>
      </c>
      <c r="N6" s="2" t="inlineStr">
        <is>
          <t>OrangePunchMimosa</t>
        </is>
      </c>
      <c r="O6" s="6" t="inlineStr">
        <is>
          <t>— no cannabinoid certificate from the initial testing —</t>
        </is>
      </c>
      <c r="P6" s="6" t="inlineStr">
        <is>
          <t>—</t>
        </is>
      </c>
      <c r="Q6" s="2" t="inlineStr">
        <is>
          <t>—</t>
        </is>
      </c>
      <c r="R6" s="2" t="inlineStr">
        <is>
          <t>CoQ-PP-2025-0005</t>
        </is>
      </c>
      <c r="S6" s="2" t="inlineStr">
        <is>
          <t>OPM1024|I</t>
        </is>
      </c>
      <c r="T6" s="7" t="inlineStr">
        <is>
          <t>registered — legacy series, issued 27.05.2026 · initial certificate to locate: #3 (CNP), #4 (CNP), #5 (CNP), #6 (CNP), #8 (CNP), #9 (IJZ), #10 (CNP), #11 (CNP), #12 (CNP)</t>
        </is>
      </c>
    </row>
    <row r="7">
      <c r="A7" s="2">
        <f>IF(C7="yes",COUNT(A$1:A6)+1,"")</f>
        <v/>
      </c>
      <c r="B7" s="3">
        <f>IF(A7&lt;&gt;"","CoQ-PP_26-"&amp;TEXT(A7,"000"),"— at issue —")</f>
        <v/>
      </c>
      <c r="C7" s="4" t="inlineStr">
        <is>
          <t>yes</t>
        </is>
      </c>
      <c r="D7" s="5">
        <f>IF(A7="","",MAX(E7,IF(ISNUMBER(I7),I7,0),IFERROR(IF(ISNUMBER(INDEX('iCoA Register'!$F:$F,MATCH(S7,'iCoA Register'!$P:$P,0))),INDEX('iCoA Register'!$F:$F,MATCH(S7,'iCoA Register'!$P:$P,0)),0),0)))</f>
        <v/>
      </c>
      <c r="E7" s="5">
        <f>IF(ISNUMBER(F7),MAX(DATE(2026,6,6),F7+7),DATE(2026,6,6))</f>
        <v/>
      </c>
      <c r="F7" s="5" t="n">
        <v>45807</v>
      </c>
      <c r="G7" s="2" t="inlineStr">
        <is>
          <t>2471-2025</t>
        </is>
      </c>
      <c r="H7" s="2">
        <f>IFERROR(INDEX('iCoA Register'!$B:$B,MATCH("P050022|I",'iCoA Register'!$P:$P,0)),"—")</f>
        <v/>
      </c>
      <c r="I7" s="5">
        <f>IFERROR(INDEX('iCoA Register'!$D:$D,MATCH("P050022|I",'iCoA Register'!$P:$P,0)),"")</f>
        <v/>
      </c>
      <c r="J7" s="2" t="inlineStr">
        <is>
          <t>legacy</t>
        </is>
      </c>
      <c r="K7" s="2" t="inlineStr">
        <is>
          <t>initial release</t>
        </is>
      </c>
      <c r="L7" s="3" t="inlineStr">
        <is>
          <t>GP0824_02</t>
        </is>
      </c>
      <c r="M7" s="2" t="inlineStr">
        <is>
          <t>P050022</t>
        </is>
      </c>
      <c r="N7" s="2" t="inlineStr">
        <is>
          <t>Grape Pie</t>
        </is>
      </c>
      <c r="O7" s="2" t="inlineStr">
        <is>
          <t>ППК25139, (22.05.2025) [CNP]</t>
        </is>
      </c>
      <c r="P7" s="6" t="inlineStr">
        <is>
          <t>—</t>
        </is>
      </c>
      <c r="Q7" s="2" t="inlineStr">
        <is>
          <t>—</t>
        </is>
      </c>
      <c r="R7" s="2" t="inlineStr">
        <is>
          <t>CoQ-PP-2025-0006</t>
        </is>
      </c>
      <c r="S7" s="2" t="inlineStr">
        <is>
          <t>P050022|I</t>
        </is>
      </c>
      <c r="T7" s="7" t="inlineStr">
        <is>
          <t>registered — legacy series, issued 27.05.2026</t>
        </is>
      </c>
    </row>
    <row r="8">
      <c r="A8" s="2">
        <f>IF(C8="yes",COUNT(A$1:A7)+1,"")</f>
        <v/>
      </c>
      <c r="B8" s="3">
        <f>IF(A8&lt;&gt;"","CoQ-PP_26-"&amp;TEXT(A8,"000"),"— at issue —")</f>
        <v/>
      </c>
      <c r="C8" s="4" t="inlineStr">
        <is>
          <t>yes</t>
        </is>
      </c>
      <c r="D8" s="5">
        <f>IF(A8="","",MAX(E8,IF(ISNUMBER(I8),I8,0),IFERROR(IF(ISNUMBER(INDEX('iCoA Register'!$F:$F,MATCH(S8,'iCoA Register'!$P:$P,0))),INDEX('iCoA Register'!$F:$F,MATCH(S8,'iCoA Register'!$P:$P,0)),0),0)))</f>
        <v/>
      </c>
      <c r="E8" s="5">
        <f>IF(ISNUMBER(F8),MAX(DATE(2026,6,6),F8+7),DATE(2026,6,6))</f>
        <v/>
      </c>
      <c r="F8" s="5" t="n">
        <v>45807</v>
      </c>
      <c r="G8" s="2" t="inlineStr">
        <is>
          <t>2472-2025</t>
        </is>
      </c>
      <c r="H8" s="2">
        <f>IFERROR(INDEX('iCoA Register'!$B:$B,MATCH("P050012|I",'iCoA Register'!$P:$P,0)),"—")</f>
        <v/>
      </c>
      <c r="I8" s="5">
        <f>IFERROR(INDEX('iCoA Register'!$D:$D,MATCH("P050012|I",'iCoA Register'!$P:$P,0)),"")</f>
        <v/>
      </c>
      <c r="J8" s="2" t="inlineStr">
        <is>
          <t>legacy</t>
        </is>
      </c>
      <c r="K8" s="2" t="inlineStr">
        <is>
          <t>initial release</t>
        </is>
      </c>
      <c r="L8" s="3" t="inlineStr">
        <is>
          <t>GG1024_02</t>
        </is>
      </c>
      <c r="M8" s="2" t="inlineStr">
        <is>
          <t>P050012</t>
        </is>
      </c>
      <c r="N8" s="2" t="inlineStr">
        <is>
          <t>Gorilla Glue</t>
        </is>
      </c>
      <c r="O8" s="2" t="inlineStr">
        <is>
          <t>ППК25140, (22.05.2025) [CNP]</t>
        </is>
      </c>
      <c r="P8" s="6" t="inlineStr">
        <is>
          <t>—</t>
        </is>
      </c>
      <c r="Q8" s="2" t="inlineStr">
        <is>
          <t>—</t>
        </is>
      </c>
      <c r="R8" s="2" t="inlineStr">
        <is>
          <t>(assigned on issue)</t>
        </is>
      </c>
      <c r="S8" s="2" t="inlineStr">
        <is>
          <t>P050012|I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Register'!$P:$P,0)),0),0)))</f>
        <v/>
      </c>
      <c r="E9" s="5">
        <f>IF(ISNUMBER(F9),MAX(DATE(2026,6,6),F9+7),DATE(2026,6,6))</f>
        <v/>
      </c>
      <c r="F9" s="5" t="n">
        <v>45784</v>
      </c>
      <c r="G9" s="2" t="inlineStr">
        <is>
          <t>2157-2025</t>
        </is>
      </c>
      <c r="H9" s="2">
        <f>IFERROR(INDEX('iCoA Register'!$B:$B,MATCH("P050032|I",'iCoA Register'!$P:$P,0)),"—")</f>
        <v/>
      </c>
      <c r="I9" s="5">
        <f>IFERROR(INDEX('iCoA Register'!$D:$D,MATCH("P050032|I",'iCoA Register'!$P:$P,0)),"")</f>
        <v/>
      </c>
      <c r="J9" s="2" t="inlineStr">
        <is>
          <t>legacy</t>
        </is>
      </c>
      <c r="K9" s="2" t="inlineStr">
        <is>
          <t>initial release</t>
        </is>
      </c>
      <c r="L9" s="3" t="inlineStr">
        <is>
          <t>MB0824_04</t>
        </is>
      </c>
      <c r="M9" s="2" t="inlineStr">
        <is>
          <t>P050032</t>
        </is>
      </c>
      <c r="N9" s="2" t="inlineStr">
        <is>
          <t>Motor Breath</t>
        </is>
      </c>
      <c r="O9" s="2" t="inlineStr">
        <is>
          <t>ППК25118, (06.05.2025) [CNP]</t>
        </is>
      </c>
      <c r="P9" s="6" t="inlineStr">
        <is>
          <t>—</t>
        </is>
      </c>
      <c r="Q9" s="2" t="inlineStr">
        <is>
          <t>—</t>
        </is>
      </c>
      <c r="R9" s="2" t="inlineStr">
        <is>
          <t>(assigned on issue)</t>
        </is>
      </c>
      <c r="S9" s="2" t="inlineStr">
        <is>
          <t>P050032|I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Register'!$P:$P,0)),0),0)))</f>
        <v/>
      </c>
      <c r="E10" s="5">
        <f>IF(ISNUMBER(F10),MAX(DATE(2026,6,6),F10+7),DATE(2026,6,6))</f>
        <v/>
      </c>
      <c r="F10" s="5" t="n">
        <v>45832</v>
      </c>
      <c r="G10" s="2" t="inlineStr">
        <is>
          <t>ППК25155</t>
        </is>
      </c>
      <c r="H10" s="2">
        <f>IFERROR(INDEX('iCoA Register'!$B:$B,MATCH("P050052|I",'iCoA Register'!$P:$P,0)),"—")</f>
        <v/>
      </c>
      <c r="I10" s="5">
        <f>IFERROR(INDEX('iCoA Register'!$D:$D,MATCH("P050052|I",'iCoA Register'!$P:$P,0)),"")</f>
        <v/>
      </c>
      <c r="J10" s="2" t="inlineStr">
        <is>
          <t>legacy</t>
        </is>
      </c>
      <c r="K10" s="2" t="inlineStr">
        <is>
          <t>initial release</t>
        </is>
      </c>
      <c r="L10" s="3" t="inlineStr">
        <is>
          <t>HPA1024_01</t>
        </is>
      </c>
      <c r="M10" s="2" t="inlineStr">
        <is>
          <t>P050052</t>
        </is>
      </c>
      <c r="N10" s="2" t="inlineStr">
        <is>
          <t>High Pro Amnesia</t>
        </is>
      </c>
      <c r="O10" s="2" t="inlineStr">
        <is>
          <t>ППК25155, (24.06.2025) [CNP]</t>
        </is>
      </c>
      <c r="P10" s="6" t="inlineStr">
        <is>
          <t>—</t>
        </is>
      </c>
      <c r="Q10" s="2" t="inlineStr">
        <is>
          <t>—</t>
        </is>
      </c>
      <c r="R10" s="2" t="inlineStr">
        <is>
          <t>CoQ-PP-2025-0008</t>
        </is>
      </c>
      <c r="S10" s="2" t="inlineStr">
        <is>
          <t>P050052|I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Register'!$P:$P,0)),0),0)))</f>
        <v/>
      </c>
      <c r="E11" s="5">
        <f>IF(ISNUMBER(F11),MAX(DATE(2026,6,6),F11+7),DATE(2026,6,6))</f>
        <v/>
      </c>
      <c r="F11" s="5" t="n">
        <v>45832</v>
      </c>
      <c r="G11" s="2" t="inlineStr">
        <is>
          <t>ППК25154</t>
        </is>
      </c>
      <c r="H11" s="2">
        <f>IFERROR(INDEX('iCoA Register'!$B:$B,MATCH("P050062|I",'iCoA Register'!$P:$P,0)),"—")</f>
        <v/>
      </c>
      <c r="I11" s="5">
        <f>IFERROR(INDEX('iCoA Register'!$D:$D,MATCH("P050062|I",'iCoA Register'!$P:$P,0)),"")</f>
        <v/>
      </c>
      <c r="J11" s="2" t="inlineStr">
        <is>
          <t>legacy</t>
        </is>
      </c>
      <c r="K11" s="2" t="inlineStr">
        <is>
          <t>initial release</t>
        </is>
      </c>
      <c r="L11" s="3" t="inlineStr">
        <is>
          <t>OPM1024_02</t>
        </is>
      </c>
      <c r="M11" s="2" t="inlineStr">
        <is>
          <t>P050062</t>
        </is>
      </c>
      <c r="N11" s="2" t="inlineStr">
        <is>
          <t>Orange Punch Mimosa</t>
        </is>
      </c>
      <c r="O11" s="2" t="inlineStr">
        <is>
          <t>ППК25154, (24.06.2025) [CNP]</t>
        </is>
      </c>
      <c r="P11" s="6" t="inlineStr">
        <is>
          <t>—</t>
        </is>
      </c>
      <c r="Q11" s="2" t="inlineStr">
        <is>
          <t>—</t>
        </is>
      </c>
      <c r="R11" s="2" t="inlineStr">
        <is>
          <t>CoQ-PP-2025-0009</t>
        </is>
      </c>
      <c r="S11" s="2" t="inlineStr">
        <is>
          <t>P050062|I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Register'!$P:$P,0)),0),0)))</f>
        <v/>
      </c>
      <c r="E12" s="5">
        <f>IF(ISNUMBER(F12),MAX(DATE(2026,6,6),F12+7),DATE(2026,6,6))</f>
        <v/>
      </c>
      <c r="F12" s="5" t="n">
        <v>45848</v>
      </c>
      <c r="G12" s="2" t="inlineStr">
        <is>
          <t>ППК25175</t>
        </is>
      </c>
      <c r="H12" s="2">
        <f>IFERROR(INDEX('iCoA Register'!$B:$B,MATCH("P050072|I",'iCoA Register'!$P:$P,0)),"—")</f>
        <v/>
      </c>
      <c r="I12" s="5">
        <f>IFERROR(INDEX('iCoA Register'!$D:$D,MATCH("P050072|I",'iCoA Register'!$P:$P,0)),"")</f>
        <v/>
      </c>
      <c r="J12" s="2" t="inlineStr">
        <is>
          <t>legacy</t>
        </is>
      </c>
      <c r="K12" s="2" t="inlineStr">
        <is>
          <t>initial release</t>
        </is>
      </c>
      <c r="L12" s="3" t="inlineStr">
        <is>
          <t>GP0824_03</t>
        </is>
      </c>
      <c r="M12" s="2" t="inlineStr">
        <is>
          <t>P050072</t>
        </is>
      </c>
      <c r="N12" s="2" t="inlineStr">
        <is>
          <t>Grape Pie</t>
        </is>
      </c>
      <c r="O12" s="2" t="inlineStr">
        <is>
          <t>ППК25175, (10.07.2025) [CNP]</t>
        </is>
      </c>
      <c r="P12" s="6" t="inlineStr">
        <is>
          <t>—</t>
        </is>
      </c>
      <c r="Q12" s="2" t="inlineStr">
        <is>
          <t>—</t>
        </is>
      </c>
      <c r="R12" s="2" t="inlineStr">
        <is>
          <t>CoQ-PP-2025-0010</t>
        </is>
      </c>
      <c r="S12" s="2" t="inlineStr">
        <is>
          <t>P050072|I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Register'!$P:$P,0)),0),0)))</f>
        <v/>
      </c>
      <c r="E13" s="5">
        <f>IF(ISNUMBER(F13),MAX(DATE(2026,6,6),F13+7),DATE(2026,6,6))</f>
        <v/>
      </c>
      <c r="F13" s="5" t="n">
        <v>45867</v>
      </c>
      <c r="G13" s="2" t="inlineStr">
        <is>
          <t>766-1375-25</t>
        </is>
      </c>
      <c r="H13" s="2">
        <f>IFERROR(INDEX('iCoA Register'!$B:$B,MATCH("P050082|I",'iCoA Register'!$P:$P,0)),"—")</f>
        <v/>
      </c>
      <c r="I13" s="5">
        <f>IFERROR(INDEX('iCoA Register'!$D:$D,MATCH("P050082|I",'iCoA Register'!$P:$P,0)),"")</f>
        <v/>
      </c>
      <c r="J13" s="2" t="inlineStr">
        <is>
          <t>legacy</t>
        </is>
      </c>
      <c r="K13" s="2" t="inlineStr">
        <is>
          <t>initial release</t>
        </is>
      </c>
      <c r="L13" s="3" t="inlineStr">
        <is>
          <t>OPM1024_03</t>
        </is>
      </c>
      <c r="M13" s="2" t="inlineStr">
        <is>
          <t>P050082</t>
        </is>
      </c>
      <c r="N13" s="2" t="inlineStr">
        <is>
          <t>Orange Punch Mimosa</t>
        </is>
      </c>
      <c r="O13" s="2" t="inlineStr">
        <is>
          <t>ППК25210, (28.07.2025) [CNP]</t>
        </is>
      </c>
      <c r="P13" s="6" t="inlineStr">
        <is>
          <t>—</t>
        </is>
      </c>
      <c r="Q13" s="2" t="inlineStr">
        <is>
          <t>—</t>
        </is>
      </c>
      <c r="R13" s="2" t="inlineStr">
        <is>
          <t>CoQ-PP-2025-0011</t>
        </is>
      </c>
      <c r="S13" s="2" t="inlineStr">
        <is>
          <t>P050082|I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Register'!$P:$P,0)),0),0)))</f>
        <v/>
      </c>
      <c r="E14" s="5">
        <f>IF(ISNUMBER(F14),MAX(DATE(2026,6,6),F14+7),DATE(2026,6,6))</f>
        <v/>
      </c>
      <c r="F14" s="5" t="n">
        <v>45764</v>
      </c>
      <c r="G14" s="2" t="inlineStr">
        <is>
          <t>ППК25104</t>
        </is>
      </c>
      <c r="H14" s="2">
        <f>IFERROR(INDEX('iCoA Register'!$B:$B,MATCH("P050092|I",'iCoA Register'!$P:$P,0)),"—")</f>
        <v/>
      </c>
      <c r="I14" s="5">
        <f>IFERROR(INDEX('iCoA Register'!$D:$D,MATCH("P050092|I",'iCoA Register'!$P:$P,0)),"")</f>
        <v/>
      </c>
      <c r="J14" s="2" t="inlineStr">
        <is>
          <t>legacy</t>
        </is>
      </c>
      <c r="K14" s="2" t="inlineStr">
        <is>
          <t>initial release</t>
        </is>
      </c>
      <c r="L14" s="3" t="inlineStr">
        <is>
          <t>GG1024_01</t>
        </is>
      </c>
      <c r="M14" s="2" t="inlineStr">
        <is>
          <t>P050092</t>
        </is>
      </c>
      <c r="N14" s="2" t="inlineStr">
        <is>
          <t>Gorilla Glue</t>
        </is>
      </c>
      <c r="O14" s="2" t="inlineStr">
        <is>
          <t>ППК25104, (17.04.2025) [CNP]</t>
        </is>
      </c>
      <c r="P14" s="6" t="inlineStr">
        <is>
          <t>—</t>
        </is>
      </c>
      <c r="Q14" s="2" t="inlineStr">
        <is>
          <t>—</t>
        </is>
      </c>
      <c r="R14" s="2" t="inlineStr">
        <is>
          <t>CoQ-PP-2025-0012</t>
        </is>
      </c>
      <c r="S14" s="2" t="inlineStr">
        <is>
          <t>P050092|I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Register'!$P:$P,0)),0),0)))</f>
        <v/>
      </c>
      <c r="E15" s="5">
        <f>IF(ISNUMBER(F15),MAX(DATE(2026,6,6),F15+7),DATE(2026,6,6))</f>
        <v/>
      </c>
      <c r="F15" s="5" t="n">
        <v>45764</v>
      </c>
      <c r="G15" s="2" t="inlineStr">
        <is>
          <t>ППК25105</t>
        </is>
      </c>
      <c r="H15" s="2">
        <f>IFERROR(INDEX('iCoA Register'!$B:$B,MATCH("P050102|I",'iCoA Register'!$P:$P,0)),"—")</f>
        <v/>
      </c>
      <c r="I15" s="5">
        <f>IFERROR(INDEX('iCoA Register'!$D:$D,MATCH("P050102|I",'iCoA Register'!$P:$P,0)),"")</f>
        <v/>
      </c>
      <c r="J15" s="2" t="inlineStr">
        <is>
          <t>legacy</t>
        </is>
      </c>
      <c r="K15" s="2" t="inlineStr">
        <is>
          <t>initial release</t>
        </is>
      </c>
      <c r="L15" s="3" t="inlineStr">
        <is>
          <t>GP0824_01</t>
        </is>
      </c>
      <c r="M15" s="2" t="inlineStr">
        <is>
          <t>P050102</t>
        </is>
      </c>
      <c r="N15" s="2" t="inlineStr">
        <is>
          <t>Grape Pie</t>
        </is>
      </c>
      <c r="O15" s="2" t="inlineStr">
        <is>
          <t>ППК25105, (17.04.2025) [CNP]</t>
        </is>
      </c>
      <c r="P15" s="6" t="inlineStr">
        <is>
          <t>—</t>
        </is>
      </c>
      <c r="Q15" s="2" t="inlineStr">
        <is>
          <t>—</t>
        </is>
      </c>
      <c r="R15" s="2" t="inlineStr">
        <is>
          <t>(assigned on issue)</t>
        </is>
      </c>
      <c r="S15" s="2" t="inlineStr">
        <is>
          <t>P050102|I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Register'!$P:$P,0)),0),0)))</f>
        <v/>
      </c>
      <c r="E16" s="5">
        <f>IF(ISNUMBER(F16),MAX(DATE(2026,6,6),F16+7),DATE(2026,6,6))</f>
        <v/>
      </c>
      <c r="F16" s="5" t="n">
        <v>45867</v>
      </c>
      <c r="G16" s="2" t="inlineStr">
        <is>
          <t>767-1376-25</t>
        </is>
      </c>
      <c r="H16" s="2">
        <f>IFERROR(INDEX('iCoA Register'!$B:$B,MATCH("P050112|I",'iCoA Register'!$P:$P,0)),"—")</f>
        <v/>
      </c>
      <c r="I16" s="5">
        <f>IFERROR(INDEX('iCoA Register'!$D:$D,MATCH("P050112|I",'iCoA Register'!$P:$P,0)),"")</f>
        <v/>
      </c>
      <c r="J16" s="2" t="inlineStr">
        <is>
          <t>legacy</t>
        </is>
      </c>
      <c r="K16" s="2" t="inlineStr">
        <is>
          <t>initial release</t>
        </is>
      </c>
      <c r="L16" s="3" t="inlineStr">
        <is>
          <t>MB0824_05</t>
        </is>
      </c>
      <c r="M16" s="2" t="inlineStr">
        <is>
          <t>P050112</t>
        </is>
      </c>
      <c r="N16" s="2" t="inlineStr">
        <is>
          <t>Motor Breath</t>
        </is>
      </c>
      <c r="O16" s="2" t="inlineStr">
        <is>
          <t>ППК25211, (28.07.2025) [CNP]</t>
        </is>
      </c>
      <c r="P16" s="6" t="inlineStr">
        <is>
          <t>—</t>
        </is>
      </c>
      <c r="Q16" s="2" t="inlineStr">
        <is>
          <t>—</t>
        </is>
      </c>
      <c r="R16" s="2" t="inlineStr">
        <is>
          <t>CoQ-PP-2025-0013</t>
        </is>
      </c>
      <c r="S16" s="2" t="inlineStr">
        <is>
          <t>P050112|I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Register'!$P:$P,0)),0),0)))</f>
        <v/>
      </c>
      <c r="E17" s="5">
        <f>IF(ISNUMBER(F17),MAX(DATE(2026,6,6),F17+7),DATE(2026,6,6))</f>
        <v/>
      </c>
      <c r="F17" s="5" t="n">
        <v>45905</v>
      </c>
      <c r="G17" s="2" t="inlineStr">
        <is>
          <t>ППК25257</t>
        </is>
      </c>
      <c r="H17" s="2">
        <f>IFERROR(INDEX('iCoA Register'!$B:$B,MATCH("P050132|I",'iCoA Register'!$P:$P,0)),"—")</f>
        <v/>
      </c>
      <c r="I17" s="5">
        <f>IFERROR(INDEX('iCoA Register'!$D:$D,MATCH("P050132|I",'iCoA Register'!$P:$P,0)),"")</f>
        <v/>
      </c>
      <c r="J17" s="2" t="inlineStr">
        <is>
          <t>legacy</t>
        </is>
      </c>
      <c r="K17" s="2" t="inlineStr">
        <is>
          <t>initial release</t>
        </is>
      </c>
      <c r="L17" s="3" t="inlineStr">
        <is>
          <t>OPM052501</t>
        </is>
      </c>
      <c r="M17" s="2" t="inlineStr">
        <is>
          <t>P050132</t>
        </is>
      </c>
      <c r="N17" s="2" t="inlineStr">
        <is>
          <t>Orange Punch Mimosa</t>
        </is>
      </c>
      <c r="O17" s="2" t="inlineStr">
        <is>
          <t>ППК25257, (05.09.2025) [CNP]</t>
        </is>
      </c>
      <c r="P17" s="6" t="inlineStr">
        <is>
          <t>—</t>
        </is>
      </c>
      <c r="Q17" s="2" t="inlineStr">
        <is>
          <t>—</t>
        </is>
      </c>
      <c r="R17" s="2" t="inlineStr">
        <is>
          <t>(assigned on issue)</t>
        </is>
      </c>
      <c r="S17" s="2" t="inlineStr">
        <is>
          <t>P050132|I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Register'!$P:$P,0)),0),0)))</f>
        <v/>
      </c>
      <c r="E18" s="5">
        <f>IF(ISNUMBER(F18),MAX(DATE(2026,6,6),F18+7),DATE(2026,6,6))</f>
        <v/>
      </c>
      <c r="F18" s="5" t="n">
        <v>45919</v>
      </c>
      <c r="G18" s="2" t="inlineStr">
        <is>
          <t>ППК25279</t>
        </is>
      </c>
      <c r="H18" s="2">
        <f>IFERROR(INDEX('iCoA Register'!$B:$B,MATCH("P050152|I",'iCoA Register'!$P:$P,0)),"—")</f>
        <v/>
      </c>
      <c r="I18" s="5">
        <f>IFERROR(INDEX('iCoA Register'!$D:$D,MATCH("P050152|I",'iCoA Register'!$P:$P,0)),"")</f>
        <v/>
      </c>
      <c r="J18" s="2" t="inlineStr">
        <is>
          <t>legacy</t>
        </is>
      </c>
      <c r="K18" s="2" t="inlineStr">
        <is>
          <t>initial release</t>
        </is>
      </c>
      <c r="L18" s="3" t="inlineStr">
        <is>
          <t>GP052501</t>
        </is>
      </c>
      <c r="M18" s="2" t="inlineStr">
        <is>
          <t>P050152</t>
        </is>
      </c>
      <c r="N18" s="2" t="inlineStr">
        <is>
          <t>Grape Pie</t>
        </is>
      </c>
      <c r="O18" s="2" t="inlineStr">
        <is>
          <t>ППК25279, (19.09.2025) [CNP]</t>
        </is>
      </c>
      <c r="P18" s="6" t="inlineStr">
        <is>
          <t>—</t>
        </is>
      </c>
      <c r="Q18" s="2" t="inlineStr">
        <is>
          <t>—</t>
        </is>
      </c>
      <c r="R18" s="2" t="inlineStr">
        <is>
          <t>CoQ-PP-2025-0014</t>
        </is>
      </c>
      <c r="S18" s="2" t="inlineStr">
        <is>
          <t>P050152|I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Register'!$P:$P,0)),0),0)))</f>
        <v/>
      </c>
      <c r="E19" s="5">
        <f>IF(ISNUMBER(F19),MAX(DATE(2026,6,6),F19+7),DATE(2026,6,6))</f>
        <v/>
      </c>
      <c r="F19" s="5" t="n">
        <v>45917</v>
      </c>
      <c r="G19" s="2" t="inlineStr">
        <is>
          <t>ППК25280</t>
        </is>
      </c>
      <c r="H19" s="2">
        <f>IFERROR(INDEX('iCoA Register'!$B:$B,MATCH("P050162|I",'iCoA Register'!$P:$P,0)),"—")</f>
        <v/>
      </c>
      <c r="I19" s="5">
        <f>IFERROR(INDEX('iCoA Register'!$D:$D,MATCH("P050162|I",'iCoA Register'!$P:$P,0)),"")</f>
        <v/>
      </c>
      <c r="J19" s="2" t="inlineStr">
        <is>
          <t>legacy</t>
        </is>
      </c>
      <c r="K19" s="2" t="inlineStr">
        <is>
          <t>initial release</t>
        </is>
      </c>
      <c r="L19" s="3" t="inlineStr">
        <is>
          <t>CJ052501/01</t>
        </is>
      </c>
      <c r="M19" s="2" t="inlineStr">
        <is>
          <t>P050162</t>
        </is>
      </c>
      <c r="N19" s="2" t="inlineStr">
        <is>
          <t>Cup Junky</t>
        </is>
      </c>
      <c r="O19" s="2" t="inlineStr">
        <is>
          <t>ППК25280, (17.09.2025) [CNP]</t>
        </is>
      </c>
      <c r="P19" s="6" t="inlineStr">
        <is>
          <t>—</t>
        </is>
      </c>
      <c r="Q19" s="2" t="inlineStr">
        <is>
          <t>—</t>
        </is>
      </c>
      <c r="R19" s="2" t="inlineStr">
        <is>
          <t>CoQ-PP-2025-0015</t>
        </is>
      </c>
      <c r="S19" s="2" t="inlineStr">
        <is>
          <t>P050162|I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Register'!$P:$P,0)),0),0)))</f>
        <v/>
      </c>
      <c r="E20" s="5">
        <f>IF(ISNUMBER(F20),MAX(DATE(2026,6,6),F20+7),DATE(2026,6,6))</f>
        <v/>
      </c>
      <c r="F20" s="5" t="n">
        <v>45917</v>
      </c>
      <c r="G20" s="2" t="inlineStr">
        <is>
          <t>ППК25281</t>
        </is>
      </c>
      <c r="H20" s="2">
        <f>IFERROR(INDEX('iCoA Register'!$B:$B,MATCH("P050172|I",'iCoA Register'!$P:$P,0)),"—")</f>
        <v/>
      </c>
      <c r="I20" s="5">
        <f>IFERROR(INDEX('iCoA Register'!$D:$D,MATCH("P050172|I",'iCoA Register'!$P:$P,0)),"")</f>
        <v/>
      </c>
      <c r="J20" s="2" t="inlineStr">
        <is>
          <t>legacy</t>
        </is>
      </c>
      <c r="K20" s="2" t="inlineStr">
        <is>
          <t>initial release</t>
        </is>
      </c>
      <c r="L20" s="3" t="inlineStr">
        <is>
          <t>CJ052501/02</t>
        </is>
      </c>
      <c r="M20" s="2" t="inlineStr">
        <is>
          <t>P050172</t>
        </is>
      </c>
      <c r="N20" s="2" t="inlineStr">
        <is>
          <t>Cap Junky</t>
        </is>
      </c>
      <c r="O20" s="2" t="inlineStr">
        <is>
          <t>ППК25281, (17.09.2025) [CNP]</t>
        </is>
      </c>
      <c r="P20" s="6" t="inlineStr">
        <is>
          <t>—</t>
        </is>
      </c>
      <c r="Q20" s="2" t="inlineStr">
        <is>
          <t>—</t>
        </is>
      </c>
      <c r="R20" s="2" t="inlineStr">
        <is>
          <t>(assigned on issue)</t>
        </is>
      </c>
      <c r="S20" s="2" t="inlineStr">
        <is>
          <t>P050172|I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Register'!$P:$P,0)),0),0)))</f>
        <v/>
      </c>
      <c r="E21" s="5">
        <f>IF(ISNUMBER(F21),MAX(DATE(2026,6,6),F21+7),DATE(2026,6,6))</f>
        <v/>
      </c>
      <c r="F21" s="5" t="n">
        <v>45919</v>
      </c>
      <c r="G21" s="2" t="inlineStr">
        <is>
          <t>ППК25278</t>
        </is>
      </c>
      <c r="H21" s="2">
        <f>IFERROR(INDEX('iCoA Register'!$B:$B,MATCH("P050182|I",'iCoA Register'!$P:$P,0)),"—")</f>
        <v/>
      </c>
      <c r="I21" s="5">
        <f>IFERROR(INDEX('iCoA Register'!$D:$D,MATCH("P050182|I",'iCoA Register'!$P:$P,0)),"")</f>
        <v/>
      </c>
      <c r="J21" s="2" t="inlineStr">
        <is>
          <t>legacy</t>
        </is>
      </c>
      <c r="K21" s="2" t="inlineStr">
        <is>
          <t>initial release</t>
        </is>
      </c>
      <c r="L21" s="3" t="inlineStr">
        <is>
          <t>HPA052501</t>
        </is>
      </c>
      <c r="M21" s="2" t="inlineStr">
        <is>
          <t>P050182</t>
        </is>
      </c>
      <c r="N21" s="2" t="inlineStr">
        <is>
          <t>High Pro Amnesia</t>
        </is>
      </c>
      <c r="O21" s="2" t="inlineStr">
        <is>
          <t>ППК25278, (19.09.2025) [CNP]</t>
        </is>
      </c>
      <c r="P21" s="6" t="inlineStr">
        <is>
          <t>—</t>
        </is>
      </c>
      <c r="Q21" s="2" t="inlineStr">
        <is>
          <t>—</t>
        </is>
      </c>
      <c r="R21" s="2" t="inlineStr">
        <is>
          <t>CoQ-PP-2025-0016</t>
        </is>
      </c>
      <c r="S21" s="2" t="inlineStr">
        <is>
          <t>P050182|I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Register'!$P:$P,0)),0),0)))</f>
        <v/>
      </c>
      <c r="E22" s="5">
        <f>IF(ISNUMBER(F22),MAX(DATE(2026,6,6),F22+7),DATE(2026,6,6))</f>
        <v/>
      </c>
      <c r="F22" s="5" t="n">
        <v>45992</v>
      </c>
      <c r="G22" s="2" t="inlineStr">
        <is>
          <t>5661-2025</t>
        </is>
      </c>
      <c r="H22" s="2">
        <f>IFERROR(INDEX('iCoA Register'!$B:$B,MATCH("P050192|I",'iCoA Register'!$P:$P,0)),"—")</f>
        <v/>
      </c>
      <c r="I22" s="5">
        <f>IFERROR(INDEX('iCoA Register'!$D:$D,MATCH("P050192|I",'iCoA Register'!$P:$P,0)),"")</f>
        <v/>
      </c>
      <c r="J22" s="2" t="inlineStr">
        <is>
          <t>legacy</t>
        </is>
      </c>
      <c r="K22" s="2" t="inlineStr">
        <is>
          <t>initial release</t>
        </is>
      </c>
      <c r="L22" s="3" t="inlineStr">
        <is>
          <t>BSS052501</t>
        </is>
      </c>
      <c r="M22" s="2" t="inlineStr">
        <is>
          <t>P050192</t>
        </is>
      </c>
      <c r="N22" s="2" t="inlineStr">
        <is>
          <t>Sleepy Joe</t>
        </is>
      </c>
      <c r="O22" s="2" t="inlineStr">
        <is>
          <t>NGP-QCG-SOP-024 F3, (28.11.2025) [NGP]</t>
        </is>
      </c>
      <c r="P22" s="6" t="inlineStr">
        <is>
          <t>—</t>
        </is>
      </c>
      <c r="Q22" s="2" t="inlineStr">
        <is>
          <t>PP CoA #017 of 04.12.2025</t>
        </is>
      </c>
      <c r="R22" s="2" t="inlineStr">
        <is>
          <t>CoQ-PP-2025-0017</t>
        </is>
      </c>
      <c r="S22" s="2" t="inlineStr">
        <is>
          <t>P050192|I</t>
        </is>
      </c>
      <c r="T22" s="7" t="inlineStr">
        <is>
          <t>registered — legacy series, issued 27.05.2026</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Register'!$P:$P,0)),0),0)))</f>
        <v/>
      </c>
      <c r="E23" s="5">
        <f>IF(ISNUMBER(F23),MAX(DATE(2026,6,6),F23+7),DATE(2026,6,6))</f>
        <v/>
      </c>
      <c r="F23" s="5" t="n">
        <v>46086</v>
      </c>
      <c r="G23" s="2" t="inlineStr">
        <is>
          <t>ППК26036</t>
        </is>
      </c>
      <c r="H23" s="2">
        <f>IFERROR(INDEX('iCoA Register'!$B:$B,MATCH("P050202|I",'iCoA Register'!$P:$P,0)),"—")</f>
        <v/>
      </c>
      <c r="I23" s="5">
        <f>IFERROR(INDEX('iCoA Register'!$D:$D,MATCH("P050202|I",'iCoA Register'!$P:$P,0)),"")</f>
        <v/>
      </c>
      <c r="J23" s="2" t="inlineStr">
        <is>
          <t>legacy</t>
        </is>
      </c>
      <c r="K23" s="2" t="inlineStr">
        <is>
          <t>initial release</t>
        </is>
      </c>
      <c r="L23" s="3" t="inlineStr">
        <is>
          <t>GP062501</t>
        </is>
      </c>
      <c r="M23" s="2" t="inlineStr">
        <is>
          <t>P050202</t>
        </is>
      </c>
      <c r="N23" s="2" t="inlineStr">
        <is>
          <t>Grape Pie</t>
        </is>
      </c>
      <c r="O23" s="2" t="inlineStr">
        <is>
          <t>NGP-QCG-SOP-024 F3, (28.11.2025) [NGP]</t>
        </is>
      </c>
      <c r="P23" s="6" t="inlineStr">
        <is>
          <t>—</t>
        </is>
      </c>
      <c r="Q23" s="2" t="inlineStr">
        <is>
          <t>PP CoA #016 of 04.10.2025</t>
        </is>
      </c>
      <c r="R23" s="2" t="inlineStr">
        <is>
          <t>(assigned on issue)</t>
        </is>
      </c>
      <c r="S23" s="2" t="inlineStr">
        <is>
          <t>P050202|I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Register'!$P:$P,0)),0),0)))</f>
        <v/>
      </c>
      <c r="E24" s="5">
        <f>IF(ISNUMBER(F24),MAX(DATE(2026,6,6),F24+7),DATE(2026,6,6))</f>
        <v/>
      </c>
      <c r="F24" s="5" t="n">
        <v>45954</v>
      </c>
      <c r="G24" s="2" t="inlineStr">
        <is>
          <t>4908-2025</t>
        </is>
      </c>
      <c r="H24" s="2">
        <f>IFERROR(INDEX('iCoA Register'!$B:$B,MATCH("P050212|I",'iCoA Register'!$P:$P,0)),"—")</f>
        <v/>
      </c>
      <c r="I24" s="5">
        <f>IFERROR(INDEX('iCoA Register'!$D:$D,MATCH("P050212|I",'iCoA Register'!$P:$P,0)),"")</f>
        <v/>
      </c>
      <c r="J24" s="2" t="inlineStr">
        <is>
          <t>legacy</t>
        </is>
      </c>
      <c r="K24" s="2" t="inlineStr">
        <is>
          <t>initial release</t>
        </is>
      </c>
      <c r="L24" s="3" t="inlineStr">
        <is>
          <t>CJ062501/2</t>
        </is>
      </c>
      <c r="M24" s="2" t="inlineStr">
        <is>
          <t>P050212</t>
        </is>
      </c>
      <c r="N24" s="2" t="inlineStr">
        <is>
          <t>Cap Junkie</t>
        </is>
      </c>
      <c r="O24" s="2" t="inlineStr">
        <is>
          <t>ППК25322, (23.10.2025) [CNP]</t>
        </is>
      </c>
      <c r="P24" s="6" t="inlineStr">
        <is>
          <t>—</t>
        </is>
      </c>
      <c r="Q24" s="2" t="inlineStr">
        <is>
          <t>PP CoA #028 of 24.01.2026</t>
        </is>
      </c>
      <c r="R24" s="2" t="inlineStr">
        <is>
          <t>(assigned on issue)</t>
        </is>
      </c>
      <c r="S24" s="2" t="inlineStr">
        <is>
          <t>P050212|I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Register'!$P:$P,0)),0),0)))</f>
        <v/>
      </c>
      <c r="E25" s="5">
        <f>IF(ISNUMBER(F25),MAX(DATE(2026,6,6),F25+7),DATE(2026,6,6))</f>
        <v/>
      </c>
      <c r="F25" s="5" t="n">
        <v>45992</v>
      </c>
      <c r="G25" s="2" t="inlineStr">
        <is>
          <t>1217-2168-25</t>
        </is>
      </c>
      <c r="H25" s="2">
        <f>IFERROR(INDEX('iCoA Register'!$B:$B,MATCH("P050222|I",'iCoA Register'!$P:$P,0)),"—")</f>
        <v/>
      </c>
      <c r="I25" s="5">
        <f>IFERROR(INDEX('iCoA Register'!$D:$D,MATCH("P050222|I",'iCoA Register'!$P:$P,0)),"")</f>
        <v/>
      </c>
      <c r="J25" s="2" t="inlineStr">
        <is>
          <t>legacy</t>
        </is>
      </c>
      <c r="K25" s="2" t="inlineStr">
        <is>
          <t>initial release</t>
        </is>
      </c>
      <c r="L25" s="3" t="inlineStr">
        <is>
          <t>CJ062501/1</t>
        </is>
      </c>
      <c r="M25" s="2" t="inlineStr">
        <is>
          <t>P050222</t>
        </is>
      </c>
      <c r="N25" s="2" t="inlineStr">
        <is>
          <t>Cap Junkie</t>
        </is>
      </c>
      <c r="O25" s="2" t="inlineStr">
        <is>
          <t>ППК25321, (23.10.2025) [CNP]</t>
        </is>
      </c>
      <c r="P25" s="6" t="inlineStr">
        <is>
          <t>—</t>
        </is>
      </c>
      <c r="Q25" s="2" t="inlineStr">
        <is>
          <t>—</t>
        </is>
      </c>
      <c r="R25" s="2" t="inlineStr">
        <is>
          <t>CoQ-PP-2025-0018</t>
        </is>
      </c>
      <c r="S25" s="2" t="inlineStr">
        <is>
          <t>P050222|I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Register'!$P:$P,0)),0),0)))</f>
        <v/>
      </c>
      <c r="E26" s="5">
        <f>IF(ISNUMBER(F26),MAX(DATE(2026,6,6),F26+7),DATE(2026,6,6))</f>
        <v/>
      </c>
      <c r="F26" s="5" t="n">
        <v>45993</v>
      </c>
      <c r="G26" s="2" t="inlineStr">
        <is>
          <t>5697-2025</t>
        </is>
      </c>
      <c r="H26" s="2">
        <f>IFERROR(INDEX('iCoA Register'!$B:$B,MATCH("P050252|I",'iCoA Register'!$P:$P,0)),"—")</f>
        <v/>
      </c>
      <c r="I26" s="5">
        <f>IFERROR(INDEX('iCoA Register'!$D:$D,MATCH("P050252|I",'iCoA Register'!$P:$P,0)),"")</f>
        <v/>
      </c>
      <c r="J26" s="2" t="inlineStr">
        <is>
          <t>legacy</t>
        </is>
      </c>
      <c r="K26" s="2" t="inlineStr">
        <is>
          <t>initial release</t>
        </is>
      </c>
      <c r="L26" s="3" t="inlineStr">
        <is>
          <t>CJ072501</t>
        </is>
      </c>
      <c r="M26" s="2" t="inlineStr">
        <is>
          <t>P050252</t>
        </is>
      </c>
      <c r="N26" s="2" t="inlineStr">
        <is>
          <t>Cap Junky</t>
        </is>
      </c>
      <c r="O26" s="2" t="inlineStr">
        <is>
          <t>ППК25367, (28.11.2025) [CNP]</t>
        </is>
      </c>
      <c r="P26" s="6" t="inlineStr">
        <is>
          <t>—</t>
        </is>
      </c>
      <c r="Q26" s="2" t="inlineStr">
        <is>
          <t>—</t>
        </is>
      </c>
      <c r="R26" s="2" t="inlineStr">
        <is>
          <t>(assigned on issue)</t>
        </is>
      </c>
      <c r="S26" s="2" t="inlineStr">
        <is>
          <t>P050252|I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Register'!$P:$P,0)),0),0)))</f>
        <v/>
      </c>
      <c r="E27" s="5">
        <f>IF(ISNUMBER(F27),MAX(DATE(2026,6,6),F27+7),DATE(2026,6,6))</f>
        <v/>
      </c>
      <c r="F27" s="5" t="n">
        <v>45993</v>
      </c>
      <c r="G27" s="2" t="inlineStr">
        <is>
          <t>5699-2025</t>
        </is>
      </c>
      <c r="H27" s="2">
        <f>IFERROR(INDEX('iCoA Register'!$B:$B,MATCH("P050262|I",'iCoA Register'!$P:$P,0)),"—")</f>
        <v/>
      </c>
      <c r="I27" s="5">
        <f>IFERROR(INDEX('iCoA Register'!$D:$D,MATCH("P050262|I",'iCoA Register'!$P:$P,0)),"")</f>
        <v/>
      </c>
      <c r="J27" s="2" t="inlineStr">
        <is>
          <t>legacy</t>
        </is>
      </c>
      <c r="K27" s="2" t="inlineStr">
        <is>
          <t>initial release</t>
        </is>
      </c>
      <c r="L27" s="3" t="inlineStr">
        <is>
          <t>WC072501</t>
        </is>
      </c>
      <c r="M27" s="2" t="inlineStr">
        <is>
          <t>P050262</t>
        </is>
      </c>
      <c r="N27" s="2" t="inlineStr">
        <is>
          <t>Wedding Crusher</t>
        </is>
      </c>
      <c r="O27" s="2" t="inlineStr">
        <is>
          <t>ППК25369, (28.11.2025) [CNP]</t>
        </is>
      </c>
      <c r="P27" s="6" t="inlineStr">
        <is>
          <t>—</t>
        </is>
      </c>
      <c r="Q27" s="2" t="inlineStr">
        <is>
          <t>—</t>
        </is>
      </c>
      <c r="R27" s="2" t="inlineStr">
        <is>
          <t>(assigned on issue)</t>
        </is>
      </c>
      <c r="S27" s="2" t="inlineStr">
        <is>
          <t>P050262|I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Register'!$P:$P,0)),0),0)))</f>
        <v/>
      </c>
      <c r="E28" s="5">
        <f>IF(ISNUMBER(F28),MAX(DATE(2026,6,6),F28+7),DATE(2026,6,6))</f>
        <v/>
      </c>
      <c r="F28" s="5" t="n">
        <v>45993</v>
      </c>
      <c r="G28" s="2" t="inlineStr">
        <is>
          <t>5698-2025</t>
        </is>
      </c>
      <c r="H28" s="2">
        <f>IFERROR(INDEX('iCoA Register'!$B:$B,MATCH("P050272|I",'iCoA Register'!$P:$P,0)),"—")</f>
        <v/>
      </c>
      <c r="I28" s="5">
        <f>IFERROR(INDEX('iCoA Register'!$D:$D,MATCH("P050272|I",'iCoA Register'!$P:$P,0)),"")</f>
        <v/>
      </c>
      <c r="J28" s="2" t="inlineStr">
        <is>
          <t>legacy</t>
        </is>
      </c>
      <c r="K28" s="2" t="inlineStr">
        <is>
          <t>initial release</t>
        </is>
      </c>
      <c r="L28" s="3" t="inlineStr">
        <is>
          <t>PM072501</t>
        </is>
      </c>
      <c r="M28" s="2" t="inlineStr">
        <is>
          <t>P050272</t>
        </is>
      </c>
      <c r="N28" s="2" t="inlineStr">
        <is>
          <t>Permanent Marker</t>
        </is>
      </c>
      <c r="O28" s="2" t="inlineStr">
        <is>
          <t>ППК25368, (28.11.2025) [CNP]</t>
        </is>
      </c>
      <c r="P28" s="6" t="inlineStr">
        <is>
          <t>—</t>
        </is>
      </c>
      <c r="Q28" s="2" t="inlineStr">
        <is>
          <t>PP CoA #026 of 21.01.2026</t>
        </is>
      </c>
      <c r="R28" s="2" t="inlineStr">
        <is>
          <t>(assigned on issue)</t>
        </is>
      </c>
      <c r="S28" s="2" t="inlineStr">
        <is>
          <t>P050272|I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Register'!$P:$P,0)),0),0)))</f>
        <v/>
      </c>
      <c r="E29" s="5">
        <f>IF(ISNUMBER(F29),MAX(DATE(2026,6,6),F29+7),DATE(2026,6,6))</f>
        <v/>
      </c>
      <c r="F29" s="5" t="n">
        <v>45993</v>
      </c>
      <c r="G29" s="2" t="inlineStr">
        <is>
          <t>5700-2025</t>
        </is>
      </c>
      <c r="H29" s="2">
        <f>IFERROR(INDEX('iCoA Register'!$B:$B,MATCH("P050282|I",'iCoA Register'!$P:$P,0)),"—")</f>
        <v/>
      </c>
      <c r="I29" s="5">
        <f>IFERROR(INDEX('iCoA Register'!$D:$D,MATCH("P050282|I",'iCoA Register'!$P:$P,0)),"")</f>
        <v/>
      </c>
      <c r="J29" s="2" t="inlineStr">
        <is>
          <t>legacy</t>
        </is>
      </c>
      <c r="K29" s="2" t="inlineStr">
        <is>
          <t>initial release</t>
        </is>
      </c>
      <c r="L29" s="3" t="inlineStr">
        <is>
          <t>CLE072501</t>
        </is>
      </c>
      <c r="M29" s="2" t="inlineStr">
        <is>
          <t>P050282</t>
        </is>
      </c>
      <c r="N29" s="2" t="inlineStr">
        <is>
          <t>Clemosa a bud</t>
        </is>
      </c>
      <c r="O29" s="2" t="inlineStr">
        <is>
          <t>ППК25370, (28.11.2025) [CNP]</t>
        </is>
      </c>
      <c r="P29" s="6" t="inlineStr">
        <is>
          <t>—</t>
        </is>
      </c>
      <c r="Q29" s="2" t="inlineStr">
        <is>
          <t>—</t>
        </is>
      </c>
      <c r="R29" s="2" t="inlineStr">
        <is>
          <t>CoQ-PP-2025-0019</t>
        </is>
      </c>
      <c r="S29" s="2" t="inlineStr">
        <is>
          <t>P050282|I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Register'!$P:$P,0)),0),0)))</f>
        <v/>
      </c>
      <c r="E30" s="5">
        <f>IF(ISNUMBER(F30),MAX(DATE(2026,6,6),F30+7),DATE(2026,6,6))</f>
        <v/>
      </c>
      <c r="F30" s="5" t="n">
        <v>46003</v>
      </c>
      <c r="G30" s="2" t="inlineStr">
        <is>
          <t>ППК25378</t>
        </is>
      </c>
      <c r="H30" s="2">
        <f>IFERROR(INDEX('iCoA Register'!$B:$B,MATCH("P050292|I",'iCoA Register'!$P:$P,0)),"—")</f>
        <v/>
      </c>
      <c r="I30" s="5">
        <f>IFERROR(INDEX('iCoA Register'!$D:$D,MATCH("P050292|I",'iCoA Register'!$P:$P,0)),"")</f>
        <v/>
      </c>
      <c r="J30" s="2" t="inlineStr">
        <is>
          <t>legacy</t>
        </is>
      </c>
      <c r="K30" s="2" t="inlineStr">
        <is>
          <t>initial release</t>
        </is>
      </c>
      <c r="L30" s="3" t="inlineStr">
        <is>
          <t>GP072501/1</t>
        </is>
      </c>
      <c r="M30" s="2" t="inlineStr">
        <is>
          <t>P050292</t>
        </is>
      </c>
      <c r="N30" s="2" t="inlineStr">
        <is>
          <t>Grape Pie</t>
        </is>
      </c>
      <c r="O30" s="2" t="inlineStr">
        <is>
          <t>ППК25378, (12.12.2025) [CNP]</t>
        </is>
      </c>
      <c r="P30" s="6" t="inlineStr">
        <is>
          <t>—</t>
        </is>
      </c>
      <c r="Q30" s="2" t="inlineStr">
        <is>
          <t>—</t>
        </is>
      </c>
      <c r="R30" s="2" t="inlineStr">
        <is>
          <t>(assigned on issue)</t>
        </is>
      </c>
      <c r="S30" s="2" t="inlineStr">
        <is>
          <t>P050292|I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Register'!$P:$P,0)),0),0)))</f>
        <v/>
      </c>
      <c r="E31" s="5">
        <f>IF(ISNUMBER(F31),MAX(DATE(2026,6,6),F31+7),DATE(2026,6,6))</f>
        <v/>
      </c>
      <c r="F31" s="5" t="n">
        <v>46003</v>
      </c>
      <c r="G31" s="2" t="inlineStr">
        <is>
          <t>ППК25379</t>
        </is>
      </c>
      <c r="H31" s="2">
        <f>IFERROR(INDEX('iCoA Register'!$B:$B,MATCH("P050302|I",'iCoA Register'!$P:$P,0)),"—")</f>
        <v/>
      </c>
      <c r="I31" s="5">
        <f>IFERROR(INDEX('iCoA Register'!$D:$D,MATCH("P050302|I",'iCoA Register'!$P:$P,0)),"")</f>
        <v/>
      </c>
      <c r="J31" s="2" t="inlineStr">
        <is>
          <t>legacy</t>
        </is>
      </c>
      <c r="K31" s="2" t="inlineStr">
        <is>
          <t>initial release</t>
        </is>
      </c>
      <c r="L31" s="3" t="inlineStr">
        <is>
          <t>GP072501/2</t>
        </is>
      </c>
      <c r="M31" s="2" t="inlineStr">
        <is>
          <t>P050302</t>
        </is>
      </c>
      <c r="N31" s="2" t="inlineStr">
        <is>
          <t>Grape Pie</t>
        </is>
      </c>
      <c r="O31" s="2" t="inlineStr">
        <is>
          <t>ППК25379, (12.12.2025) [CNP]</t>
        </is>
      </c>
      <c r="P31" s="6" t="inlineStr">
        <is>
          <t>—</t>
        </is>
      </c>
      <c r="Q31" s="2" t="inlineStr">
        <is>
          <t>—</t>
        </is>
      </c>
      <c r="R31" s="2" t="inlineStr">
        <is>
          <t>CoQ-PP-2025-0020</t>
        </is>
      </c>
      <c r="S31" s="2" t="inlineStr">
        <is>
          <t>P050302|I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Register'!$P:$P,0)),0),0)))</f>
        <v/>
      </c>
      <c r="E32" s="5">
        <f>IF(ISNUMBER(F32),MAX(DATE(2026,6,6),F32+7),DATE(2026,6,6))</f>
        <v/>
      </c>
      <c r="F32" s="5" t="n">
        <v>46003</v>
      </c>
      <c r="G32" s="2" t="inlineStr">
        <is>
          <t>ППК25380</t>
        </is>
      </c>
      <c r="H32" s="2">
        <f>IFERROR(INDEX('iCoA Register'!$B:$B,MATCH("P050312|I",'iCoA Register'!$P:$P,0)),"—")</f>
        <v/>
      </c>
      <c r="I32" s="5">
        <f>IFERROR(INDEX('iCoA Register'!$D:$D,MATCH("P050312|I",'iCoA Register'!$P:$P,0)),"")</f>
        <v/>
      </c>
      <c r="J32" s="2" t="inlineStr">
        <is>
          <t>legacy</t>
        </is>
      </c>
      <c r="K32" s="2" t="inlineStr">
        <is>
          <t>initial release</t>
        </is>
      </c>
      <c r="L32" s="3" t="inlineStr">
        <is>
          <t>GP082501/1</t>
        </is>
      </c>
      <c r="M32" s="2" t="inlineStr">
        <is>
          <t>P050312</t>
        </is>
      </c>
      <c r="N32" s="2" t="inlineStr">
        <is>
          <t>Grape Pie</t>
        </is>
      </c>
      <c r="O32" s="2" t="inlineStr">
        <is>
          <t>ППК25380, (12.12.2025) [CNP]</t>
        </is>
      </c>
      <c r="P32" s="6" t="inlineStr">
        <is>
          <t>—</t>
        </is>
      </c>
      <c r="Q32" s="2" t="inlineStr">
        <is>
          <t>—</t>
        </is>
      </c>
      <c r="R32" s="2" t="inlineStr">
        <is>
          <t>CoQ-PP-2025-0021</t>
        </is>
      </c>
      <c r="S32" s="2" t="inlineStr">
        <is>
          <t>P050312|I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Register'!$P:$P,0)),0),0)))</f>
        <v/>
      </c>
      <c r="E33" s="5">
        <f>IF(ISNUMBER(F33),MAX(DATE(2026,6,6),F33+7),DATE(2026,6,6))</f>
        <v/>
      </c>
      <c r="F33" s="5" t="n">
        <v>46003</v>
      </c>
      <c r="G33" s="2" t="inlineStr">
        <is>
          <t>ППК25381</t>
        </is>
      </c>
      <c r="H33" s="2">
        <f>IFERROR(INDEX('iCoA Register'!$B:$B,MATCH("P050322|I",'iCoA Register'!$P:$P,0)),"—")</f>
        <v/>
      </c>
      <c r="I33" s="5">
        <f>IFERROR(INDEX('iCoA Register'!$D:$D,MATCH("P050322|I",'iCoA Register'!$P:$P,0)),"")</f>
        <v/>
      </c>
      <c r="J33" s="2" t="inlineStr">
        <is>
          <t>legacy</t>
        </is>
      </c>
      <c r="K33" s="2" t="inlineStr">
        <is>
          <t>initial release</t>
        </is>
      </c>
      <c r="L33" s="3" t="inlineStr">
        <is>
          <t>GP082501/2</t>
        </is>
      </c>
      <c r="M33" s="2" t="inlineStr">
        <is>
          <t>P050322</t>
        </is>
      </c>
      <c r="N33" s="2" t="inlineStr">
        <is>
          <t>Grape Pie</t>
        </is>
      </c>
      <c r="O33" s="2" t="inlineStr">
        <is>
          <t>ППК25381, (12.12.2025) [CNP]</t>
        </is>
      </c>
      <c r="P33" s="6" t="inlineStr">
        <is>
          <t>—</t>
        </is>
      </c>
      <c r="Q33" s="2" t="inlineStr">
        <is>
          <t>—</t>
        </is>
      </c>
      <c r="R33" s="2" t="inlineStr">
        <is>
          <t>CoQ-PP-2025-0022</t>
        </is>
      </c>
      <c r="S33" s="2" t="inlineStr">
        <is>
          <t>P050322|I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Register'!$P:$P,0)),0),0)))</f>
        <v/>
      </c>
      <c r="E34" s="5">
        <f>IF(ISNUMBER(F34),MAX(DATE(2026,6,6),F34+7),DATE(2026,6,6))</f>
        <v/>
      </c>
      <c r="F34" s="5" t="n">
        <v>46055</v>
      </c>
      <c r="G34" s="2" t="inlineStr">
        <is>
          <t>80-2026</t>
        </is>
      </c>
      <c r="H34" s="2">
        <f>IFERROR(INDEX('iCoA Register'!$B:$B,MATCH("P060012|I",'iCoA Register'!$P:$P,0)),"—")</f>
        <v/>
      </c>
      <c r="I34" s="5">
        <f>IFERROR(INDEX('iCoA Register'!$D:$D,MATCH("P060012|I",'iCoA Register'!$P:$P,0)),"")</f>
        <v/>
      </c>
      <c r="J34" s="2" t="inlineStr">
        <is>
          <t>legacy</t>
        </is>
      </c>
      <c r="K34" s="2" t="inlineStr">
        <is>
          <t>initial release</t>
        </is>
      </c>
      <c r="L34" s="3" t="inlineStr">
        <is>
          <t>WC082501</t>
        </is>
      </c>
      <c r="M34" s="2" t="inlineStr">
        <is>
          <t>P060012</t>
        </is>
      </c>
      <c r="N34" s="2" t="inlineStr">
        <is>
          <t>Wedding Crasher</t>
        </is>
      </c>
      <c r="O34" s="2" t="inlineStr">
        <is>
          <t>ППК26001, (21.01.2026) [CNP]</t>
        </is>
      </c>
      <c r="P34" s="6" t="inlineStr">
        <is>
          <t>—</t>
        </is>
      </c>
      <c r="Q34" s="2" t="inlineStr">
        <is>
          <t>PP CoA #035 of 20.02.2026</t>
        </is>
      </c>
      <c r="R34" s="2" t="inlineStr">
        <is>
          <t>CoQ-PP-2026-0001</t>
        </is>
      </c>
      <c r="S34" s="2" t="inlineStr">
        <is>
          <t>P060012|I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Register'!$P:$P,0)),0),0)))</f>
        <v/>
      </c>
      <c r="E35" s="5">
        <f>IF(ISNUMBER(F35),MAX(DATE(2026,6,6),F35+7),DATE(2026,6,6))</f>
        <v/>
      </c>
      <c r="F35" s="5" t="n">
        <v>46055</v>
      </c>
      <c r="G35" s="2" t="inlineStr">
        <is>
          <t>81-2026</t>
        </is>
      </c>
      <c r="H35" s="2">
        <f>IFERROR(INDEX('iCoA Register'!$B:$B,MATCH("P060022|I",'iCoA Register'!$P:$P,0)),"—")</f>
        <v/>
      </c>
      <c r="I35" s="5">
        <f>IFERROR(INDEX('iCoA Register'!$D:$D,MATCH("P060022|I",'iCoA Register'!$P:$P,0)),"")</f>
        <v/>
      </c>
      <c r="J35" s="2" t="inlineStr">
        <is>
          <t>legacy</t>
        </is>
      </c>
      <c r="K35" s="2" t="inlineStr">
        <is>
          <t>initial release</t>
        </is>
      </c>
      <c r="L35" s="3" t="inlineStr">
        <is>
          <t>CJ082501/1</t>
        </is>
      </c>
      <c r="M35" s="2" t="inlineStr">
        <is>
          <t>P060022</t>
        </is>
      </c>
      <c r="N35" s="2" t="inlineStr">
        <is>
          <t>Cap Junky</t>
        </is>
      </c>
      <c r="O35" s="2" t="inlineStr">
        <is>
          <t>ППК26002, (21.01.2026) [CNP]</t>
        </is>
      </c>
      <c r="P35" s="6" t="inlineStr">
        <is>
          <t>—</t>
        </is>
      </c>
      <c r="Q35" s="2" t="inlineStr">
        <is>
          <t>PP CoA #041 of 20.02.2026</t>
        </is>
      </c>
      <c r="R35" s="2" t="inlineStr">
        <is>
          <t>CoQ-PP-2026-0002</t>
        </is>
      </c>
      <c r="S35" s="2" t="inlineStr">
        <is>
          <t>P060022|I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Register'!$P:$P,0)),0),0)))</f>
        <v/>
      </c>
      <c r="E36" s="5">
        <f>IF(ISNUMBER(F36),MAX(DATE(2026,6,6),F36+7),DATE(2026,6,6))</f>
        <v/>
      </c>
      <c r="F36" s="5" t="n">
        <v>46055</v>
      </c>
      <c r="G36" s="2" t="inlineStr">
        <is>
          <t>82-2026</t>
        </is>
      </c>
      <c r="H36" s="2">
        <f>IFERROR(INDEX('iCoA Register'!$B:$B,MATCH("P060032|I",'iCoA Register'!$P:$P,0)),"—")</f>
        <v/>
      </c>
      <c r="I36" s="5">
        <f>IFERROR(INDEX('iCoA Register'!$D:$D,MATCH("P060032|I",'iCoA Register'!$P:$P,0)),"")</f>
        <v/>
      </c>
      <c r="J36" s="2" t="inlineStr">
        <is>
          <t>legacy</t>
        </is>
      </c>
      <c r="K36" s="2" t="inlineStr">
        <is>
          <t>initial release</t>
        </is>
      </c>
      <c r="L36" s="3" t="inlineStr">
        <is>
          <t>CJ082501/2</t>
        </is>
      </c>
      <c r="M36" s="2" t="inlineStr">
        <is>
          <t>P060032</t>
        </is>
      </c>
      <c r="N36" s="2" t="inlineStr">
        <is>
          <t>Cap Junky</t>
        </is>
      </c>
      <c r="O36" s="2" t="inlineStr">
        <is>
          <t>ППК26003, (21.01.2026) [CNP]</t>
        </is>
      </c>
      <c r="P36" s="6" t="inlineStr">
        <is>
          <t>—</t>
        </is>
      </c>
      <c r="Q36" s="2" t="inlineStr">
        <is>
          <t>PP CoA #034 of 20.02.2026</t>
        </is>
      </c>
      <c r="R36" s="2" t="inlineStr">
        <is>
          <t>CoQ-PP-2026-0003</t>
        </is>
      </c>
      <c r="S36" s="2" t="inlineStr">
        <is>
          <t>P060032|I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Register'!$P:$P,0)),0),0)))</f>
        <v/>
      </c>
      <c r="E37" s="5">
        <f>IF(ISNUMBER(F37),MAX(DATE(2026,6,6),F37+7),DATE(2026,6,6))</f>
        <v/>
      </c>
      <c r="F37" s="5" t="n">
        <v>46056</v>
      </c>
      <c r="G37" s="2" t="inlineStr">
        <is>
          <t>87-2026</t>
        </is>
      </c>
      <c r="H37" s="2">
        <f>IFERROR(INDEX('iCoA Register'!$B:$B,MATCH("P060042|I",'iCoA Register'!$P:$P,0)),"—")</f>
        <v/>
      </c>
      <c r="I37" s="5">
        <f>IFERROR(INDEX('iCoA Register'!$D:$D,MATCH("P060042|I",'iCoA Register'!$P:$P,0)),"")</f>
        <v/>
      </c>
      <c r="J37" s="2" t="inlineStr">
        <is>
          <t>legacy</t>
        </is>
      </c>
      <c r="K37" s="2" t="inlineStr">
        <is>
          <t>initial release</t>
        </is>
      </c>
      <c r="L37" s="3" t="inlineStr">
        <is>
          <t>OPM092501</t>
        </is>
      </c>
      <c r="M37" s="2" t="inlineStr">
        <is>
          <t>P060042</t>
        </is>
      </c>
      <c r="N37" s="2" t="inlineStr">
        <is>
          <t>Orange Punch Mimosa</t>
        </is>
      </c>
      <c r="O37" s="2" t="inlineStr">
        <is>
          <t>ППК26008, (21.01.2026) [CNP]</t>
        </is>
      </c>
      <c r="P37" s="6" t="inlineStr">
        <is>
          <t>—</t>
        </is>
      </c>
      <c r="Q37" s="2" t="inlineStr">
        <is>
          <t>PP CoA #040 of 20.02.2026</t>
        </is>
      </c>
      <c r="R37" s="2" t="inlineStr">
        <is>
          <t>CoQ-PP-2026-0004</t>
        </is>
      </c>
      <c r="S37" s="2" t="inlineStr">
        <is>
          <t>P060042|I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Register'!$P:$P,0)),0),0)))</f>
        <v/>
      </c>
      <c r="E38" s="5">
        <f>IF(ISNUMBER(F38),MAX(DATE(2026,6,6),F38+7),DATE(2026,6,6))</f>
        <v/>
      </c>
      <c r="F38" s="5" t="n">
        <v>46055</v>
      </c>
      <c r="G38" s="2" t="inlineStr">
        <is>
          <t>84-2026</t>
        </is>
      </c>
      <c r="H38" s="2">
        <f>IFERROR(INDEX('iCoA Register'!$B:$B,MATCH("P060052|I",'iCoA Register'!$P:$P,0)),"—")</f>
        <v/>
      </c>
      <c r="I38" s="5">
        <f>IFERROR(INDEX('iCoA Register'!$D:$D,MATCH("P060052|I",'iCoA Register'!$P:$P,0)),"")</f>
        <v/>
      </c>
      <c r="J38" s="2" t="inlineStr">
        <is>
          <t>legacy</t>
        </is>
      </c>
      <c r="K38" s="2" t="inlineStr">
        <is>
          <t>initial release</t>
        </is>
      </c>
      <c r="L38" s="3" t="inlineStr">
        <is>
          <t>AB092501</t>
        </is>
      </c>
      <c r="M38" s="2" t="inlineStr">
        <is>
          <t>P060052</t>
        </is>
      </c>
      <c r="N38" s="2" t="inlineStr">
        <is>
          <t>Apple and Banana</t>
        </is>
      </c>
      <c r="O38" s="2" t="inlineStr">
        <is>
          <t>ППК26005, (21.01.2026) [CNP]</t>
        </is>
      </c>
      <c r="P38" s="6" t="inlineStr">
        <is>
          <t>—</t>
        </is>
      </c>
      <c r="Q38" s="2" t="inlineStr">
        <is>
          <t>PP CoA #037 of 20.02.2026</t>
        </is>
      </c>
      <c r="R38" s="2" t="inlineStr">
        <is>
          <t>(assigned on issue)</t>
        </is>
      </c>
      <c r="S38" s="2" t="inlineStr">
        <is>
          <t>P060052|I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Register'!$P:$P,0)),0),0)))</f>
        <v/>
      </c>
      <c r="E39" s="5">
        <f>IF(ISNUMBER(F39),MAX(DATE(2026,6,6),F39+7),DATE(2026,6,6))</f>
        <v/>
      </c>
      <c r="F39" s="5" t="n">
        <v>46055</v>
      </c>
      <c r="G39" s="2" t="inlineStr">
        <is>
          <t>83-2026</t>
        </is>
      </c>
      <c r="H39" s="2">
        <f>IFERROR(INDEX('iCoA Register'!$B:$B,MATCH("P060062|I",'iCoA Register'!$P:$P,0)),"—")</f>
        <v/>
      </c>
      <c r="I39" s="5">
        <f>IFERROR(INDEX('iCoA Register'!$D:$D,MATCH("P060062|I",'iCoA Register'!$P:$P,0)),"")</f>
        <v/>
      </c>
      <c r="J39" s="2" t="inlineStr">
        <is>
          <t>legacy</t>
        </is>
      </c>
      <c r="K39" s="2" t="inlineStr">
        <is>
          <t>initial release</t>
        </is>
      </c>
      <c r="L39" s="3" t="inlineStr">
        <is>
          <t>PM092501</t>
        </is>
      </c>
      <c r="M39" s="2" t="inlineStr">
        <is>
          <t>P060062</t>
        </is>
      </c>
      <c r="N39" s="2" t="inlineStr">
        <is>
          <t>Permanent Market</t>
        </is>
      </c>
      <c r="O39" s="2" t="inlineStr">
        <is>
          <t>ППК26004, (21.01.2026) [CNP]</t>
        </is>
      </c>
      <c r="P39" s="6" t="inlineStr">
        <is>
          <t>—</t>
        </is>
      </c>
      <c r="Q39" s="2" t="inlineStr">
        <is>
          <t>PP CoA #036 of 20.02.2026</t>
        </is>
      </c>
      <c r="R39" s="2" t="inlineStr">
        <is>
          <t>CoQ-PP-2026-0005</t>
        </is>
      </c>
      <c r="S39" s="2" t="inlineStr">
        <is>
          <t>P060062|I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Register'!$P:$P,0)),0),0)))</f>
        <v/>
      </c>
      <c r="E40" s="5">
        <f>IF(ISNUMBER(F40),MAX(DATE(2026,6,6),F40+7),DATE(2026,6,6))</f>
        <v/>
      </c>
      <c r="F40" s="5" t="n">
        <v>46055</v>
      </c>
      <c r="G40" s="2" t="inlineStr">
        <is>
          <t>86-2026</t>
        </is>
      </c>
      <c r="H40" s="2">
        <f>IFERROR(INDEX('iCoA Register'!$B:$B,MATCH("P060072|I",'iCoA Register'!$P:$P,0)),"—")</f>
        <v/>
      </c>
      <c r="I40" s="5">
        <f>IFERROR(INDEX('iCoA Register'!$D:$D,MATCH("P060072|I",'iCoA Register'!$P:$P,0)),"")</f>
        <v/>
      </c>
      <c r="J40" s="2" t="inlineStr">
        <is>
          <t>legacy</t>
        </is>
      </c>
      <c r="K40" s="2" t="inlineStr">
        <is>
          <t>initial release</t>
        </is>
      </c>
      <c r="L40" s="3" t="inlineStr">
        <is>
          <t>CJ092501</t>
        </is>
      </c>
      <c r="M40" s="2" t="inlineStr">
        <is>
          <t>P060072</t>
        </is>
      </c>
      <c r="N40" s="2" t="inlineStr">
        <is>
          <t>Cap Junky</t>
        </is>
      </c>
      <c r="O40" s="2" t="inlineStr">
        <is>
          <t>ППК26007, (21.01.2026) [CNP]</t>
        </is>
      </c>
      <c r="P40" s="6" t="inlineStr">
        <is>
          <t>—</t>
        </is>
      </c>
      <c r="Q40" s="2" t="inlineStr">
        <is>
          <t>PP CoA #039 of 20.02.2026</t>
        </is>
      </c>
      <c r="R40" s="2" t="inlineStr">
        <is>
          <t>CoQ-PP-2026-0006</t>
        </is>
      </c>
      <c r="S40" s="2" t="inlineStr">
        <is>
          <t>P060072|I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Register'!$P:$P,0)),0),0)))</f>
        <v/>
      </c>
      <c r="E41" s="5">
        <f>IF(ISNUMBER(F41),MAX(DATE(2026,6,6),F41+7),DATE(2026,6,6))</f>
        <v/>
      </c>
      <c r="F41" s="5" t="n">
        <v>46055</v>
      </c>
      <c r="G41" s="2" t="inlineStr">
        <is>
          <t>85-2026</t>
        </is>
      </c>
      <c r="H41" s="2">
        <f>IFERROR(INDEX('iCoA Register'!$B:$B,MATCH("P060082|I",'iCoA Register'!$P:$P,0)),"—")</f>
        <v/>
      </c>
      <c r="I41" s="5">
        <f>IFERROR(INDEX('iCoA Register'!$D:$D,MATCH("P060082|I",'iCoA Register'!$P:$P,0)),"")</f>
        <v/>
      </c>
      <c r="J41" s="2" t="inlineStr">
        <is>
          <t>legacy</t>
        </is>
      </c>
      <c r="K41" s="2" t="inlineStr">
        <is>
          <t>initial release</t>
        </is>
      </c>
      <c r="L41" s="3" t="inlineStr">
        <is>
          <t>SJ0925021</t>
        </is>
      </c>
      <c r="M41" s="2" t="inlineStr">
        <is>
          <t>P060082</t>
        </is>
      </c>
      <c r="N41" s="2" t="inlineStr"/>
      <c r="O41" s="2" t="inlineStr">
        <is>
          <t>ППК26006, (21.01.2026) [CNP]</t>
        </is>
      </c>
      <c r="P41" s="6" t="inlineStr">
        <is>
          <t>—</t>
        </is>
      </c>
      <c r="Q41" s="2" t="inlineStr">
        <is>
          <t>PP CoA #038 of 20.02.2026</t>
        </is>
      </c>
      <c r="R41" s="2" t="inlineStr">
        <is>
          <t>CoQ-PP-2026-0007</t>
        </is>
      </c>
      <c r="S41" s="2" t="inlineStr">
        <is>
          <t>P060082|I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Register'!$P:$P,0)),0),0)))</f>
        <v/>
      </c>
      <c r="E42" s="5">
        <f>IF(ISNUMBER(F42),MAX(DATE(2026,6,6),F42+7),DATE(2026,6,6))</f>
        <v/>
      </c>
      <c r="F42" s="5" t="n">
        <v>46056</v>
      </c>
      <c r="G42" s="2" t="inlineStr">
        <is>
          <t>88-2026</t>
        </is>
      </c>
      <c r="H42" s="2">
        <f>IFERROR(INDEX('iCoA Register'!$B:$B,MATCH("P060092|I",'iCoA Register'!$P:$P,0)),"—")</f>
        <v/>
      </c>
      <c r="I42" s="5">
        <f>IFERROR(INDEX('iCoA Register'!$D:$D,MATCH("P060092|I",'iCoA Register'!$P:$P,0)),"")</f>
        <v/>
      </c>
      <c r="J42" s="2" t="inlineStr">
        <is>
          <t>legacy</t>
        </is>
      </c>
      <c r="K42" s="2" t="inlineStr">
        <is>
          <t>initial release</t>
        </is>
      </c>
      <c r="L42" s="3" t="inlineStr">
        <is>
          <t>GP092501</t>
        </is>
      </c>
      <c r="M42" s="2" t="inlineStr">
        <is>
          <t>P060092</t>
        </is>
      </c>
      <c r="N42" s="2" t="inlineStr">
        <is>
          <t>Grape Pie</t>
        </is>
      </c>
      <c r="O42" s="2" t="inlineStr">
        <is>
          <t>ППК26009, (21.01.2026) [CNP]</t>
        </is>
      </c>
      <c r="P42" s="6" t="inlineStr">
        <is>
          <t>—</t>
        </is>
      </c>
      <c r="Q42" s="2" t="inlineStr">
        <is>
          <t>PP CoA #033 of 20.02.2026</t>
        </is>
      </c>
      <c r="R42" s="2" t="inlineStr">
        <is>
          <t>CoQ-PP-2026-0008</t>
        </is>
      </c>
      <c r="S42" s="2" t="inlineStr">
        <is>
          <t>P060092|I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Register'!$P:$P,0)),0),0)))</f>
        <v/>
      </c>
      <c r="E43" s="5">
        <f>IF(ISNUMBER(F43),MAX(DATE(2026,6,6),F43+7),DATE(2026,6,6))</f>
        <v/>
      </c>
      <c r="F43" s="5" t="n">
        <v>46083</v>
      </c>
      <c r="G43" s="2" t="inlineStr">
        <is>
          <t>051-1-LoD-26</t>
        </is>
      </c>
      <c r="H43" s="2">
        <f>IFERROR(INDEX('iCoA Register'!$B:$B,MATCH("P060152|I",'iCoA Register'!$P:$P,0)),"—")</f>
        <v/>
      </c>
      <c r="I43" s="5">
        <f>IFERROR(INDEX('iCoA Register'!$D:$D,MATCH("P060152|I",'iCoA Register'!$P:$P,0)),"")</f>
        <v/>
      </c>
      <c r="J43" s="2" t="inlineStr">
        <is>
          <t>legacy</t>
        </is>
      </c>
      <c r="K43" s="2" t="inlineStr">
        <is>
          <t>initial release</t>
        </is>
      </c>
      <c r="L43" s="3" t="inlineStr">
        <is>
          <t>J31102501</t>
        </is>
      </c>
      <c r="M43" s="2" t="inlineStr">
        <is>
          <t>P060152</t>
        </is>
      </c>
      <c r="N43" s="2" t="inlineStr">
        <is>
          <t>Jokerz 31</t>
        </is>
      </c>
      <c r="O43" s="2" t="inlineStr">
        <is>
          <t>051-1-K-26, (04.03.2026) [FHM-K]</t>
        </is>
      </c>
      <c r="P43" s="6" t="inlineStr">
        <is>
          <t>—</t>
        </is>
      </c>
      <c r="Q43" s="2" t="inlineStr">
        <is>
          <t>—</t>
        </is>
      </c>
      <c r="R43" s="2" t="inlineStr">
        <is>
          <t>CoQ-PP-2026-0012</t>
        </is>
      </c>
      <c r="S43" s="2" t="inlineStr">
        <is>
          <t>P060152|I</t>
        </is>
      </c>
      <c r="T43" s="7" t="inlineStr">
        <is>
          <t>registered — legacy series, issued 27.05.2026 · initial certificate to locate: #9 (IJZ), #10 (CNP), #11 (CNP), #12 (CNP)</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Register'!$P:$P,0)),0),0)))</f>
        <v/>
      </c>
      <c r="E44" s="5">
        <f>IF(ISNUMBER(F44),MAX(DATE(2026,6,6),F44+7),DATE(2026,6,6))</f>
        <v/>
      </c>
      <c r="F44" s="5" t="n">
        <v>46083</v>
      </c>
      <c r="G44" s="2" t="inlineStr">
        <is>
          <t>051-3-LoD-26</t>
        </is>
      </c>
      <c r="H44" s="2">
        <f>IFERROR(INDEX('iCoA Register'!$B:$B,MATCH("P060162|I",'iCoA Register'!$P:$P,0)),"—")</f>
        <v/>
      </c>
      <c r="I44" s="5">
        <f>IFERROR(INDEX('iCoA Register'!$D:$D,MATCH("P060162|I",'iCoA Register'!$P:$P,0)),"")</f>
        <v/>
      </c>
      <c r="J44" s="2" t="inlineStr">
        <is>
          <t>legacy</t>
        </is>
      </c>
      <c r="K44" s="2" t="inlineStr">
        <is>
          <t>initial release</t>
        </is>
      </c>
      <c r="L44" s="3" t="inlineStr">
        <is>
          <t>SJ102501</t>
        </is>
      </c>
      <c r="M44" s="2" t="inlineStr">
        <is>
          <t>P060162</t>
        </is>
      </c>
      <c r="N44" s="2" t="inlineStr">
        <is>
          <t>Sleepy Joe</t>
        </is>
      </c>
      <c r="O44" s="2" t="inlineStr">
        <is>
          <t>051-3-K-26, (04.03.2026) [FHM-K]</t>
        </is>
      </c>
      <c r="P44" s="6" t="inlineStr">
        <is>
          <t>—</t>
        </is>
      </c>
      <c r="Q44" s="2" t="inlineStr">
        <is>
          <t>—</t>
        </is>
      </c>
      <c r="R44" s="2" t="inlineStr">
        <is>
          <t>(assigned on issue)</t>
        </is>
      </c>
      <c r="S44" s="2" t="inlineStr">
        <is>
          <t>P060162|I</t>
        </is>
      </c>
      <c r="T44" s="7" t="inlineStr">
        <is>
          <t>registered — legacy series, issued 27.05.2026 · initial certificate to locate: #9 (IJZ), #10 (CNP), #11 (CNP), #12 (CNP)</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Register'!$P:$P,0)),0),0)))</f>
        <v/>
      </c>
      <c r="E45" s="5">
        <f>IF(ISNUMBER(F45),MAX(DATE(2026,6,6),F45+7),DATE(2026,6,6))</f>
        <v/>
      </c>
      <c r="F45" s="5" t="n">
        <v>46083</v>
      </c>
      <c r="G45" s="2" t="inlineStr">
        <is>
          <t>051-4-LoD-26</t>
        </is>
      </c>
      <c r="H45" s="2">
        <f>IFERROR(INDEX('iCoA Register'!$B:$B,MATCH("P060172|I",'iCoA Register'!$P:$P,0)),"—")</f>
        <v/>
      </c>
      <c r="I45" s="5">
        <f>IFERROR(INDEX('iCoA Register'!$D:$D,MATCH("P060172|I",'iCoA Register'!$P:$P,0)),"")</f>
        <v/>
      </c>
      <c r="J45" s="2" t="inlineStr">
        <is>
          <t>legacy</t>
        </is>
      </c>
      <c r="K45" s="2" t="inlineStr">
        <is>
          <t>initial release</t>
        </is>
      </c>
      <c r="L45" s="3" t="inlineStr">
        <is>
          <t>KC102501</t>
        </is>
      </c>
      <c r="M45" s="2" t="inlineStr">
        <is>
          <t>P060172</t>
        </is>
      </c>
      <c r="N45" s="2" t="inlineStr">
        <is>
          <t>Kush Crasher</t>
        </is>
      </c>
      <c r="O45" s="2" t="inlineStr">
        <is>
          <t>051-4-K-26, (04.03.2026) [FHM-K]</t>
        </is>
      </c>
      <c r="P45" s="6" t="inlineStr">
        <is>
          <t>—</t>
        </is>
      </c>
      <c r="Q45" s="2" t="inlineStr">
        <is>
          <t>—</t>
        </is>
      </c>
      <c r="R45" s="2" t="inlineStr">
        <is>
          <t>CoQ-PP-2026-0013</t>
        </is>
      </c>
      <c r="S45" s="2" t="inlineStr">
        <is>
          <t>P060172|I</t>
        </is>
      </c>
      <c r="T45" s="7" t="inlineStr">
        <is>
          <t>registered — legacy series, issued 27.05.2026 · initial certificate to locate: #9 (IJZ), #10 (CNP), #11 (CNP), #12 (CNP)</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Register'!$P:$P,0)),0),0)))</f>
        <v/>
      </c>
      <c r="E46" s="5">
        <f>IF(ISNUMBER(F46),MAX(DATE(2026,6,6),F46+7),DATE(2026,6,6))</f>
        <v/>
      </c>
      <c r="F46" s="5" t="n">
        <v>46083</v>
      </c>
      <c r="G46" s="2" t="inlineStr">
        <is>
          <t>051-6-LoD-26</t>
        </is>
      </c>
      <c r="H46" s="2">
        <f>IFERROR(INDEX('iCoA Register'!$B:$B,MATCH("P060182|I",'iCoA Register'!$P:$P,0)),"—")</f>
        <v/>
      </c>
      <c r="I46" s="5">
        <f>IFERROR(INDEX('iCoA Register'!$D:$D,MATCH("P060182|I",'iCoA Register'!$P:$P,0)),"")</f>
        <v/>
      </c>
      <c r="J46" s="2" t="inlineStr">
        <is>
          <t>legacy</t>
        </is>
      </c>
      <c r="K46" s="2" t="inlineStr">
        <is>
          <t>initial release</t>
        </is>
      </c>
      <c r="L46" s="3" t="inlineStr">
        <is>
          <t>GRC102501</t>
        </is>
      </c>
      <c r="M46" s="2" t="inlineStr">
        <is>
          <t>P060182</t>
        </is>
      </c>
      <c r="N46" s="2" t="inlineStr">
        <is>
          <t>Graps &amp; Creme</t>
        </is>
      </c>
      <c r="O46" s="2" t="inlineStr">
        <is>
          <t>051-6-K-26, (04.03.2026) [FHM-K]</t>
        </is>
      </c>
      <c r="P46" s="6" t="inlineStr">
        <is>
          <t>—</t>
        </is>
      </c>
      <c r="Q46" s="2" t="inlineStr">
        <is>
          <t>—</t>
        </is>
      </c>
      <c r="R46" s="2" t="inlineStr">
        <is>
          <t>CoQ-PP-2026-0014</t>
        </is>
      </c>
      <c r="S46" s="2" t="inlineStr">
        <is>
          <t>P060182|I</t>
        </is>
      </c>
      <c r="T46" s="7" t="inlineStr">
        <is>
          <t>registered — legacy series, issued 27.05.2026 · initial certificate to locate: #9 (IJZ), #10 (CNP), #11 (CNP), #12 (CNP)</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Register'!$P:$P,0)),0),0)))</f>
        <v/>
      </c>
      <c r="E47" s="5">
        <f>IF(ISNUMBER(F47),MAX(DATE(2026,6,6),F47+7),DATE(2026,6,6))</f>
        <v/>
      </c>
      <c r="F47" s="5" t="n">
        <v>46083</v>
      </c>
      <c r="G47" s="2" t="inlineStr">
        <is>
          <t>051-2-LoD-26</t>
        </is>
      </c>
      <c r="H47" s="2">
        <f>IFERROR(INDEX('iCoA Register'!$B:$B,MATCH("P060192|I",'iCoA Register'!$P:$P,0)),"—")</f>
        <v/>
      </c>
      <c r="I47" s="5">
        <f>IFERROR(INDEX('iCoA Register'!$D:$D,MATCH("P060192|I",'iCoA Register'!$P:$P,0)),"")</f>
        <v/>
      </c>
      <c r="J47" s="2" t="inlineStr">
        <is>
          <t>legacy</t>
        </is>
      </c>
      <c r="K47" s="2" t="inlineStr">
        <is>
          <t>initial release</t>
        </is>
      </c>
      <c r="L47" s="3" t="inlineStr">
        <is>
          <t>SJ112501</t>
        </is>
      </c>
      <c r="M47" s="2" t="inlineStr">
        <is>
          <t>P060192</t>
        </is>
      </c>
      <c r="N47" s="2" t="inlineStr">
        <is>
          <t>Sleepy Joy</t>
        </is>
      </c>
      <c r="O47" s="2" t="inlineStr">
        <is>
          <t>051-2-K-26, (04.03.2026) [FHM-K]</t>
        </is>
      </c>
      <c r="P47" s="6" t="inlineStr">
        <is>
          <t>—</t>
        </is>
      </c>
      <c r="Q47" s="2" t="inlineStr">
        <is>
          <t>—</t>
        </is>
      </c>
      <c r="R47" s="2" t="inlineStr">
        <is>
          <t>(assigned on issue)</t>
        </is>
      </c>
      <c r="S47" s="2" t="inlineStr">
        <is>
          <t>P060192|I</t>
        </is>
      </c>
      <c r="T47" s="7" t="inlineStr">
        <is>
          <t>registered — legacy series, issued 27.05.2026 · initial certificate to locate: #9 (IJZ), #10 (CNP), #11 (CNP), #12 (CNP)</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Register'!$P:$P,0)),0),0)))</f>
        <v/>
      </c>
      <c r="E48" s="5">
        <f>IF(ISNUMBER(F48),MAX(DATE(2026,6,6),F48+7),DATE(2026,6,6))</f>
        <v/>
      </c>
      <c r="F48" s="5" t="n">
        <v>46083</v>
      </c>
      <c r="G48" s="2" t="inlineStr">
        <is>
          <t>051-5-LoD-26</t>
        </is>
      </c>
      <c r="H48" s="2">
        <f>IFERROR(INDEX('iCoA Register'!$B:$B,MATCH("P060202|I",'iCoA Register'!$P:$P,0)),"—")</f>
        <v/>
      </c>
      <c r="I48" s="5">
        <f>IFERROR(INDEX('iCoA Register'!$D:$D,MATCH("P060202|I",'iCoA Register'!$P:$P,0)),"")</f>
        <v/>
      </c>
      <c r="J48" s="2" t="inlineStr">
        <is>
          <t>legacy</t>
        </is>
      </c>
      <c r="K48" s="2" t="inlineStr">
        <is>
          <t>initial release</t>
        </is>
      </c>
      <c r="L48" s="3" t="inlineStr">
        <is>
          <t>J31112501</t>
        </is>
      </c>
      <c r="M48" s="2" t="inlineStr">
        <is>
          <t>P060202</t>
        </is>
      </c>
      <c r="N48" s="2" t="inlineStr">
        <is>
          <t>Jokerz 31</t>
        </is>
      </c>
      <c r="O48" s="2" t="inlineStr">
        <is>
          <t>051-5-K-26, (04.03.2026) [FHM-K]</t>
        </is>
      </c>
      <c r="P48" s="6" t="inlineStr">
        <is>
          <t>—</t>
        </is>
      </c>
      <c r="Q48" s="2" t="inlineStr">
        <is>
          <t>—</t>
        </is>
      </c>
      <c r="R48" s="2" t="inlineStr">
        <is>
          <t>(assigned on issue)</t>
        </is>
      </c>
      <c r="S48" s="2" t="inlineStr">
        <is>
          <t>P060202|I</t>
        </is>
      </c>
      <c r="T48" s="7" t="inlineStr">
        <is>
          <t>registered — legacy series, issued 27.05.2026 · initial certificate to locate: #9 (IJZ), #10 (CNP), #11 (CNP), #12 (CNP)</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Register'!$P:$P,0)),0),0)))</f>
        <v/>
      </c>
      <c r="E49" s="5">
        <f>IF(ISNUMBER(F49),MAX(DATE(2026,6,6),F49+7),DATE(2026,6,6))</f>
        <v/>
      </c>
      <c r="F49" s="5" t="n">
        <v>46153</v>
      </c>
      <c r="G49" s="2" t="inlineStr">
        <is>
          <t>ППК26063</t>
        </is>
      </c>
      <c r="H49" s="2">
        <f>IFERROR(INDEX('iCoA Register'!$B:$B,MATCH("P060212|I",'iCoA Register'!$P:$P,0)),"—")</f>
        <v/>
      </c>
      <c r="I49" s="5">
        <f>IFERROR(INDEX('iCoA Register'!$D:$D,MATCH("P060212|I",'iCoA Register'!$P:$P,0)),"")</f>
        <v/>
      </c>
      <c r="J49" s="2" t="inlineStr">
        <is>
          <t>legacy</t>
        </is>
      </c>
      <c r="K49" s="2" t="inlineStr">
        <is>
          <t>initial release</t>
        </is>
      </c>
      <c r="L49" s="3" t="inlineStr">
        <is>
          <t>JD112501</t>
        </is>
      </c>
      <c r="M49" s="2" t="inlineStr">
        <is>
          <t>P060212</t>
        </is>
      </c>
      <c r="N49" s="2" t="inlineStr">
        <is>
          <t>Jelly Donutz</t>
        </is>
      </c>
      <c r="O49" s="2" t="inlineStr">
        <is>
          <t>ППК26063, (11.05.2026) [CNP]</t>
        </is>
      </c>
      <c r="P49" s="6" t="inlineStr">
        <is>
          <t>—</t>
        </is>
      </c>
      <c r="Q49" s="2" t="inlineStr">
        <is>
          <t>—</t>
        </is>
      </c>
      <c r="R49" s="2" t="inlineStr">
        <is>
          <t>CoQ-PP-2026-0015</t>
        </is>
      </c>
      <c r="S49" s="2" t="inlineStr">
        <is>
          <t>P060212|I</t>
        </is>
      </c>
      <c r="T49" s="7" t="inlineStr">
        <is>
          <t>registered — legacy series, issued 27.05.2026</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Register'!$P:$P,0)),0),0)))</f>
        <v/>
      </c>
      <c r="E50" s="5">
        <f>IF(ISNUMBER(F50),MAX(DATE(2026,6,6),F50+7),DATE(2026,6,6))</f>
        <v/>
      </c>
      <c r="F50" s="5" t="n">
        <v>46086</v>
      </c>
      <c r="G50" s="2" t="inlineStr">
        <is>
          <t>ППК26031</t>
        </is>
      </c>
      <c r="H50" s="2">
        <f>IFERROR(INDEX('iCoA Register'!$B:$B,MATCH("P060222|I",'iCoA Register'!$P:$P,0)),"—")</f>
        <v/>
      </c>
      <c r="I50" s="5">
        <f>IFERROR(INDEX('iCoA Register'!$D:$D,MATCH("P060222|I",'iCoA Register'!$P:$P,0)),"")</f>
        <v/>
      </c>
      <c r="J50" s="2" t="inlineStr">
        <is>
          <t>legacy</t>
        </is>
      </c>
      <c r="K50" s="2" t="inlineStr">
        <is>
          <t>initial release</t>
        </is>
      </c>
      <c r="L50" s="3" t="inlineStr">
        <is>
          <t>OPM112501</t>
        </is>
      </c>
      <c r="M50" s="2" t="inlineStr">
        <is>
          <t>P060222</t>
        </is>
      </c>
      <c r="N50" s="2" t="inlineStr">
        <is>
          <t>Orange Punch Mimosa</t>
        </is>
      </c>
      <c r="O50" s="2" t="inlineStr">
        <is>
          <t>ППК26031, (05.03.2026) [CNP]</t>
        </is>
      </c>
      <c r="P50" s="6" t="inlineStr">
        <is>
          <t>—</t>
        </is>
      </c>
      <c r="Q50" s="2" t="inlineStr">
        <is>
          <t>—</t>
        </is>
      </c>
      <c r="R50" s="2" t="inlineStr">
        <is>
          <t>(assigned on issue)</t>
        </is>
      </c>
      <c r="S50" s="2" t="inlineStr">
        <is>
          <t>P060222|I</t>
        </is>
      </c>
      <c r="T50" s="7" t="inlineStr">
        <is>
          <t>registered — legacy series, issued 27.05.2026 · initial certificate to locate: #9 (IJZ), #10 (CNP), #11 (CNP), #12 (CNP)</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Register'!$P:$P,0)),0),0)))</f>
        <v/>
      </c>
      <c r="E51" s="5">
        <f>IF(ISNUMBER(F51),MAX(DATE(2026,6,6),F51+7),DATE(2026,6,6))</f>
        <v/>
      </c>
      <c r="F51" s="5" t="n">
        <v>46086</v>
      </c>
      <c r="G51" s="2" t="inlineStr">
        <is>
          <t>ППК26030</t>
        </is>
      </c>
      <c r="H51" s="2">
        <f>IFERROR(INDEX('iCoA Register'!$B:$B,MATCH("P060232|I",'iCoA Register'!$P:$P,0)),"—")</f>
        <v/>
      </c>
      <c r="I51" s="5">
        <f>IFERROR(INDEX('iCoA Register'!$D:$D,MATCH("P060232|I",'iCoA Register'!$P:$P,0)),"")</f>
        <v/>
      </c>
      <c r="J51" s="2" t="inlineStr">
        <is>
          <t>legacy</t>
        </is>
      </c>
      <c r="K51" s="2" t="inlineStr">
        <is>
          <t>initial release</t>
        </is>
      </c>
      <c r="L51" s="3" t="inlineStr">
        <is>
          <t>PM112501</t>
        </is>
      </c>
      <c r="M51" s="2" t="inlineStr">
        <is>
          <t>P060232</t>
        </is>
      </c>
      <c r="N51" s="2" t="inlineStr">
        <is>
          <t>Permanent Market</t>
        </is>
      </c>
      <c r="O51" s="2" t="inlineStr">
        <is>
          <t>ППК26030, (05.03.2026) [CNP]</t>
        </is>
      </c>
      <c r="P51" s="6" t="inlineStr">
        <is>
          <t>—</t>
        </is>
      </c>
      <c r="Q51" s="2" t="inlineStr">
        <is>
          <t>—</t>
        </is>
      </c>
      <c r="R51" s="2" t="inlineStr">
        <is>
          <t>CoQ-PP-2026-0016</t>
        </is>
      </c>
      <c r="S51" s="2" t="inlineStr">
        <is>
          <t>P060232|I</t>
        </is>
      </c>
      <c r="T51" s="7" t="inlineStr">
        <is>
          <t>registered — legacy series, issued 27.05.2026 · initial certificate to locate: #9 (IJZ), #10 (CNP), #11 (CNP), #12 (CNP)</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Register'!$P:$P,0)),0),0)))</f>
        <v/>
      </c>
      <c r="E52" s="5">
        <f>IF(ISNUMBER(F52),MAX(DATE(2026,6,6),F52+7),DATE(2026,6,6))</f>
        <v/>
      </c>
      <c r="F52" s="5" t="n">
        <v>46135</v>
      </c>
      <c r="G52" s="2" t="inlineStr">
        <is>
          <t>1627-2026</t>
        </is>
      </c>
      <c r="H52" s="2">
        <f>IFERROR(INDEX('iCoA Register'!$B:$B,MATCH("P060242|I",'iCoA Register'!$P:$P,0)),"—")</f>
        <v/>
      </c>
      <c r="I52" s="5">
        <f>IFERROR(INDEX('iCoA Register'!$D:$D,MATCH("P060242|I",'iCoA Register'!$P:$P,0)),"")</f>
        <v/>
      </c>
      <c r="J52" s="2" t="inlineStr">
        <is>
          <t>legacy</t>
        </is>
      </c>
      <c r="K52" s="2" t="inlineStr">
        <is>
          <t>initial release</t>
        </is>
      </c>
      <c r="L52" s="3" t="inlineStr">
        <is>
          <t>OPM122501</t>
        </is>
      </c>
      <c r="M52" s="2" t="inlineStr">
        <is>
          <t>P060242</t>
        </is>
      </c>
      <c r="N52" s="2" t="inlineStr">
        <is>
          <t>Orange Punch Mimosa</t>
        </is>
      </c>
      <c r="O52" s="2" t="inlineStr">
        <is>
          <t>100-4-K-26, (09.04.2026) [FHM-K]</t>
        </is>
      </c>
      <c r="P52" s="6" t="inlineStr">
        <is>
          <t>—</t>
        </is>
      </c>
      <c r="Q52" s="2" t="inlineStr">
        <is>
          <t>—</t>
        </is>
      </c>
      <c r="R52" s="2" t="inlineStr">
        <is>
          <t>CoQ-PP-2026-0017</t>
        </is>
      </c>
      <c r="S52" s="2" t="inlineStr">
        <is>
          <t>P060242|I</t>
        </is>
      </c>
      <c r="T52" s="7" t="inlineStr">
        <is>
          <t>registered — legacy series, issued 27.05.2026</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Register'!$P:$P,0)),0),0)))</f>
        <v/>
      </c>
      <c r="E53" s="5">
        <f>IF(ISNUMBER(F53),MAX(DATE(2026,6,6),F53+7),DATE(2026,6,6))</f>
        <v/>
      </c>
      <c r="F53" s="5" t="n">
        <v>46153</v>
      </c>
      <c r="G53" s="2" t="inlineStr">
        <is>
          <t>ППК26061</t>
        </is>
      </c>
      <c r="H53" s="2">
        <f>IFERROR(INDEX('iCoA Register'!$B:$B,MATCH("P060252|I",'iCoA Register'!$P:$P,0)),"—")</f>
        <v/>
      </c>
      <c r="I53" s="5">
        <f>IFERROR(INDEX('iCoA Register'!$D:$D,MATCH("P060252|I",'iCoA Register'!$P:$P,0)),"")</f>
        <v/>
      </c>
      <c r="J53" s="2" t="inlineStr">
        <is>
          <t>legacy</t>
        </is>
      </c>
      <c r="K53" s="2" t="inlineStr">
        <is>
          <t>initial release</t>
        </is>
      </c>
      <c r="L53" s="3" t="inlineStr">
        <is>
          <t>GG112501</t>
        </is>
      </c>
      <c r="M53" s="2" t="inlineStr">
        <is>
          <t>P060252</t>
        </is>
      </c>
      <c r="N53" s="2" t="inlineStr">
        <is>
          <t>Gorilla Glue</t>
        </is>
      </c>
      <c r="O53" s="2" t="inlineStr">
        <is>
          <t>ППК26061, (11.05.2026) [CNP]</t>
        </is>
      </c>
      <c r="P53" s="6" t="inlineStr">
        <is>
          <t>—</t>
        </is>
      </c>
      <c r="Q53" s="2" t="inlineStr">
        <is>
          <t>—</t>
        </is>
      </c>
      <c r="R53" s="2" t="inlineStr">
        <is>
          <t>(assigned on issue)</t>
        </is>
      </c>
      <c r="S53" s="2" t="inlineStr">
        <is>
          <t>P060252|I</t>
        </is>
      </c>
      <c r="T53" s="7" t="inlineStr">
        <is>
          <t>registered — legacy series, issued 27.05.2026</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Register'!$P:$P,0)),0),0)))</f>
        <v/>
      </c>
      <c r="E54" s="5">
        <f>IF(ISNUMBER(F54),MAX(DATE(2026,6,6),F54+7),DATE(2026,6,6))</f>
        <v/>
      </c>
      <c r="F54" s="5" t="n">
        <v>46135</v>
      </c>
      <c r="G54" s="2" t="inlineStr">
        <is>
          <t>1625-2026</t>
        </is>
      </c>
      <c r="H54" s="2">
        <f>IFERROR(INDEX('iCoA Register'!$B:$B,MATCH("P060262|I",'iCoA Register'!$P:$P,0)),"—")</f>
        <v/>
      </c>
      <c r="I54" s="5">
        <f>IFERROR(INDEX('iCoA Register'!$D:$D,MATCH("P060262|I",'iCoA Register'!$P:$P,0)),"")</f>
        <v/>
      </c>
      <c r="J54" s="2" t="inlineStr">
        <is>
          <t>post-SOP</t>
        </is>
      </c>
      <c r="K54" s="2" t="inlineStr">
        <is>
          <t>initial release</t>
        </is>
      </c>
      <c r="L54" s="3" t="inlineStr">
        <is>
          <t>J31122501</t>
        </is>
      </c>
      <c r="M54" s="2" t="inlineStr">
        <is>
          <t>P060262</t>
        </is>
      </c>
      <c r="N54" s="2" t="inlineStr">
        <is>
          <t>Jokerz 31</t>
        </is>
      </c>
      <c r="O54" s="2" t="inlineStr">
        <is>
          <t>100-2-K-26, (09.04.2026) [FHM-K]</t>
        </is>
      </c>
      <c r="P54" s="6" t="inlineStr">
        <is>
          <t>—</t>
        </is>
      </c>
      <c r="Q54" s="2" t="inlineStr">
        <is>
          <t>—</t>
        </is>
      </c>
      <c r="R54" s="2" t="inlineStr">
        <is>
          <t>(assigned on issue)</t>
        </is>
      </c>
      <c r="S54" s="2" t="inlineStr">
        <is>
          <t>P060262|I</t>
        </is>
      </c>
      <c r="T54" s="7" t="inlineStr">
        <is>
          <t>registered — rule date 30.04.2026 held to the legacy series day</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Register'!$P:$P,0)),0),0)))</f>
        <v/>
      </c>
      <c r="E55" s="5">
        <f>IF(ISNUMBER(F55),MAX(DATE(2026,6,6),F55+7),DATE(2026,6,6))</f>
        <v/>
      </c>
      <c r="F55" s="5" t="n">
        <v>46153</v>
      </c>
      <c r="G55" s="2" t="inlineStr">
        <is>
          <t>ППК26068</t>
        </is>
      </c>
      <c r="H55" s="2">
        <f>IFERROR(INDEX('iCoA Register'!$B:$B,MATCH("P060272|I",'iCoA Register'!$P:$P,0)),"—")</f>
        <v/>
      </c>
      <c r="I55" s="5">
        <f>IFERROR(INDEX('iCoA Register'!$D:$D,MATCH("P060272|I",'iCoA Register'!$P:$P,0)),"")</f>
        <v/>
      </c>
      <c r="J55" s="2" t="inlineStr">
        <is>
          <t>post-SOP</t>
        </is>
      </c>
      <c r="K55" s="2" t="inlineStr">
        <is>
          <t>initial release</t>
        </is>
      </c>
      <c r="L55" s="3" t="inlineStr">
        <is>
          <t>CC112501</t>
        </is>
      </c>
      <c r="M55" s="2" t="inlineStr">
        <is>
          <t>P060272</t>
        </is>
      </c>
      <c r="N55" s="2" t="inlineStr">
        <is>
          <t>Cash Cow</t>
        </is>
      </c>
      <c r="O55" s="2" t="inlineStr">
        <is>
          <t>ППК26068, (11.05.2026) [CNP]</t>
        </is>
      </c>
      <c r="P55" s="6" t="inlineStr">
        <is>
          <t>—</t>
        </is>
      </c>
      <c r="Q55" s="2" t="inlineStr">
        <is>
          <t>—</t>
        </is>
      </c>
      <c r="R55" s="2" t="inlineStr">
        <is>
          <t>(assigned on issue)</t>
        </is>
      </c>
      <c r="S55" s="2" t="inlineStr">
        <is>
          <t>P060272|I</t>
        </is>
      </c>
      <c r="T55" s="7" t="inlineStr">
        <is>
          <t>registered — rule date 18.05.2026 held to the legacy series day</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Register'!$P:$P,0)),0),0)))</f>
        <v/>
      </c>
      <c r="E56" s="5">
        <f>IF(ISNUMBER(F56),MAX(DATE(2026,6,6),F56+7),DATE(2026,6,6))</f>
        <v/>
      </c>
      <c r="F56" s="5" t="n">
        <v>46153</v>
      </c>
      <c r="G56" s="2" t="inlineStr">
        <is>
          <t>ППК26069</t>
        </is>
      </c>
      <c r="H56" s="2">
        <f>IFERROR(INDEX('iCoA Register'!$B:$B,MATCH("P060282|I",'iCoA Register'!$P:$P,0)),"—")</f>
        <v/>
      </c>
      <c r="I56" s="5">
        <f>IFERROR(INDEX('iCoA Register'!$D:$D,MATCH("P060282|I",'iCoA Register'!$P:$P,0)),"")</f>
        <v/>
      </c>
      <c r="J56" s="2" t="inlineStr">
        <is>
          <t>post-SOP</t>
        </is>
      </c>
      <c r="K56" s="2" t="inlineStr">
        <is>
          <t>initial release</t>
        </is>
      </c>
      <c r="L56" s="3" t="inlineStr">
        <is>
          <t>SCR112501</t>
        </is>
      </c>
      <c r="M56" s="2" t="inlineStr">
        <is>
          <t>P060282</t>
        </is>
      </c>
      <c r="N56" s="2" t="inlineStr">
        <is>
          <t>Scrambler</t>
        </is>
      </c>
      <c r="O56" s="2" t="inlineStr">
        <is>
          <t>ППК26069, (11.05.2026) [CNP]</t>
        </is>
      </c>
      <c r="P56" s="6" t="inlineStr">
        <is>
          <t>—</t>
        </is>
      </c>
      <c r="Q56" s="2" t="inlineStr">
        <is>
          <t>—</t>
        </is>
      </c>
      <c r="R56" s="2" t="inlineStr">
        <is>
          <t>CoQ-PP-2026-0018</t>
        </is>
      </c>
      <c r="S56" s="2" t="inlineStr">
        <is>
          <t>P060282|I</t>
        </is>
      </c>
      <c r="T56" s="7" t="inlineStr">
        <is>
          <t>registered — rule date 18.05.2026 held to the legacy series day</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Register'!$P:$P,0)),0),0)))</f>
        <v/>
      </c>
      <c r="E57" s="5">
        <f>IF(ISNUMBER(F57),MAX(DATE(2026,6,6),F57+7),DATE(2026,6,6))</f>
        <v/>
      </c>
      <c r="F57" s="5" t="n">
        <v>46153</v>
      </c>
      <c r="G57" s="2" t="inlineStr">
        <is>
          <t>ППК26066</t>
        </is>
      </c>
      <c r="H57" s="2">
        <f>IFERROR(INDEX('iCoA Register'!$B:$B,MATCH("P060292|I",'iCoA Register'!$P:$P,0)),"—")</f>
        <v/>
      </c>
      <c r="I57" s="5">
        <f>IFERROR(INDEX('iCoA Register'!$D:$D,MATCH("P060292|I",'iCoA Register'!$P:$P,0)),"")</f>
        <v/>
      </c>
      <c r="J57" s="2" t="inlineStr">
        <is>
          <t>post-SOP</t>
        </is>
      </c>
      <c r="K57" s="2" t="inlineStr">
        <is>
          <t>initial release</t>
        </is>
      </c>
      <c r="L57" s="3" t="inlineStr">
        <is>
          <t>FB112501</t>
        </is>
      </c>
      <c r="M57" s="2" t="inlineStr">
        <is>
          <t>P060292</t>
        </is>
      </c>
      <c r="N57" s="2" t="inlineStr">
        <is>
          <t>Fat Bastard</t>
        </is>
      </c>
      <c r="O57" s="2" t="inlineStr">
        <is>
          <t>ППК26066, (11.05.2026) [CNP]</t>
        </is>
      </c>
      <c r="P57" s="6" t="inlineStr">
        <is>
          <t>—</t>
        </is>
      </c>
      <c r="Q57" s="2" t="inlineStr">
        <is>
          <t>—</t>
        </is>
      </c>
      <c r="R57" s="2" t="inlineStr">
        <is>
          <t>(assigned on issue)</t>
        </is>
      </c>
      <c r="S57" s="2" t="inlineStr">
        <is>
          <t>P060292|I</t>
        </is>
      </c>
      <c r="T57" s="7" t="inlineStr">
        <is>
          <t>registered — rule date 18.05.2026 held to the legacy series day</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Register'!$P:$P,0)),0),0)))</f>
        <v/>
      </c>
      <c r="E58" s="5">
        <f>IF(ISNUMBER(F58),MAX(DATE(2026,6,6),F58+7),DATE(2026,6,6))</f>
        <v/>
      </c>
      <c r="F58" s="5" t="inlineStr">
        <is>
          <t>—</t>
        </is>
      </c>
      <c r="G58" s="2" t="inlineStr">
        <is>
          <t>—</t>
        </is>
      </c>
      <c r="H58" s="2">
        <f>IFERROR(INDEX('iCoA Register'!$B:$B,MATCH("P060332|I",'iCoA Register'!$P:$P,0)),"—")</f>
        <v/>
      </c>
      <c r="I58" s="5">
        <f>IFERROR(INDEX('iCoA Register'!$D:$D,MATCH("P060332|I",'iCoA Register'!$P:$P,0)),"")</f>
        <v/>
      </c>
      <c r="J58" s="2" t="inlineStr">
        <is>
          <t>post-SOP</t>
        </is>
      </c>
      <c r="K58" s="2" t="inlineStr">
        <is>
          <t>initial release</t>
        </is>
      </c>
      <c r="L58" s="3" t="inlineStr">
        <is>
          <t>CC012601/1</t>
        </is>
      </c>
      <c r="M58" s="2" t="inlineStr">
        <is>
          <t>P060332</t>
        </is>
      </c>
      <c r="N58" s="2" t="inlineStr"/>
      <c r="O58" s="6" t="inlineStr">
        <is>
          <t>— no cannabinoid certificate from the initial testing —</t>
        </is>
      </c>
      <c r="P58" s="6" t="inlineStr">
        <is>
          <t>—</t>
        </is>
      </c>
      <c r="Q58" s="2" t="inlineStr">
        <is>
          <t>—</t>
        </is>
      </c>
      <c r="R58" s="2" t="inlineStr">
        <is>
          <t>— not in the issuance plan —</t>
        </is>
      </c>
      <c r="S58" s="2" t="inlineStr">
        <is>
          <t>P060332|I</t>
        </is>
      </c>
      <c r="T58" s="7" t="inlineStr">
        <is>
          <t>registered — provisional date: no initial certificate on file yet — the date follows the latest eCoA once located · initial certificate to locate: #3 (CNP), #4 (CNP), #5 (CNP), #6 (CNP), #8 (CNP), #9 (IJZ), #10 (CNP), #11 (CNP), #12 (CNP)</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Register'!$P:$P,0)),0),0)))</f>
        <v/>
      </c>
      <c r="E59" s="5">
        <f>IF(ISNUMBER(F59),MAX(DATE(2026,6,6),F59+7),DATE(2026,6,6))</f>
        <v/>
      </c>
      <c r="F59" s="5" t="n">
        <v>46153</v>
      </c>
      <c r="G59" s="2" t="inlineStr">
        <is>
          <t>ППК26067</t>
        </is>
      </c>
      <c r="H59" s="2">
        <f>IFERROR(INDEX('iCoA Register'!$B:$B,MATCH("P060322|I",'iCoA Register'!$P:$P,0)),"—")</f>
        <v/>
      </c>
      <c r="I59" s="5">
        <f>IFERROR(INDEX('iCoA Register'!$D:$D,MATCH("P060322|I",'iCoA Register'!$P:$P,0)),"")</f>
        <v/>
      </c>
      <c r="J59" s="2" t="inlineStr">
        <is>
          <t>post-SOP</t>
        </is>
      </c>
      <c r="K59" s="2" t="inlineStr">
        <is>
          <t>initial release</t>
        </is>
      </c>
      <c r="L59" s="3" t="inlineStr">
        <is>
          <t>FB012601_1</t>
        </is>
      </c>
      <c r="M59" s="2" t="inlineStr">
        <is>
          <t>P060322</t>
        </is>
      </c>
      <c r="N59" s="2" t="inlineStr">
        <is>
          <t>Fat Bastard</t>
        </is>
      </c>
      <c r="O59" s="2" t="inlineStr">
        <is>
          <t>ППК26067, (11.05.2026) [CNP]</t>
        </is>
      </c>
      <c r="P59" s="6" t="inlineStr">
        <is>
          <t>—</t>
        </is>
      </c>
      <c r="Q59" s="2" t="inlineStr">
        <is>
          <t>—</t>
        </is>
      </c>
      <c r="R59" s="2" t="inlineStr">
        <is>
          <t>CoQ-PP-2026-0019</t>
        </is>
      </c>
      <c r="S59" s="2" t="inlineStr">
        <is>
          <t>P060322|I</t>
        </is>
      </c>
      <c r="T59" s="7" t="inlineStr">
        <is>
          <t>registered — rule date 18.05.2026 held to the legacy series day</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Register'!$P:$P,0)),0),0)))</f>
        <v/>
      </c>
      <c r="E60" s="5">
        <f>IF(ISNUMBER(F60),MAX(DATE(2026,6,6),F60+7),DATE(2026,6,6))</f>
        <v/>
      </c>
      <c r="F60" s="5" t="inlineStr">
        <is>
          <t>—</t>
        </is>
      </c>
      <c r="G60" s="2" t="inlineStr">
        <is>
          <t>—</t>
        </is>
      </c>
      <c r="H60" s="2">
        <f>IFERROR(INDEX('iCoA Register'!$B:$B,MATCH("P060352|I",'iCoA Register'!$P:$P,0)),"—")</f>
        <v/>
      </c>
      <c r="I60" s="5">
        <f>IFERROR(INDEX('iCoA Register'!$D:$D,MATCH("P060352|I",'iCoA Register'!$P:$P,0)),"")</f>
        <v/>
      </c>
      <c r="J60" s="2" t="inlineStr">
        <is>
          <t>post-SOP</t>
        </is>
      </c>
      <c r="K60" s="2" t="inlineStr">
        <is>
          <t>initial release</t>
        </is>
      </c>
      <c r="L60" s="3" t="inlineStr">
        <is>
          <t>FB012602*</t>
        </is>
      </c>
      <c r="M60" s="2" t="inlineStr">
        <is>
          <t>P060352</t>
        </is>
      </c>
      <c r="N60" s="2" t="inlineStr">
        <is>
          <t>Fat Bastard</t>
        </is>
      </c>
      <c r="O60" s="6" t="inlineStr">
        <is>
          <t>— no cannabinoid certificate from the initial testing —</t>
        </is>
      </c>
      <c r="P60" s="6" t="inlineStr">
        <is>
          <t>—</t>
        </is>
      </c>
      <c r="Q60" s="2" t="inlineStr">
        <is>
          <t>—</t>
        </is>
      </c>
      <c r="R60" s="2" t="inlineStr">
        <is>
          <t>CoQ-PP-2026-0021</t>
        </is>
      </c>
      <c r="S60" s="2" t="inlineStr">
        <is>
          <t>P060352|I</t>
        </is>
      </c>
      <c r="T60" s="7" t="inlineStr">
        <is>
          <t>registered — provisional date: no initial certificate on file yet — the date follows the latest eCoA once located · initial certificate to locate: #3 (CNP), #4 (CNP), #5 (CNP), #6 (CNP), #8 (CNP), #9 (IJZ), #10 (CNP), #11 (CNP), #12 (CNP)</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Register'!$P:$P,0)),0),0)))</f>
        <v/>
      </c>
      <c r="E61" s="5">
        <f>IF(ISNUMBER(F61),MAX(DATE(2026,6,6),F61+7),DATE(2026,6,6))</f>
        <v/>
      </c>
      <c r="F61" s="5" t="inlineStr">
        <is>
          <t>—</t>
        </is>
      </c>
      <c r="G61" s="2" t="inlineStr">
        <is>
          <t>—</t>
        </is>
      </c>
      <c r="H61" s="2">
        <f>IFERROR(INDEX('iCoA Register'!$B:$B,MATCH("P060382|I",'iCoA Register'!$P:$P,0)),"—")</f>
        <v/>
      </c>
      <c r="I61" s="5">
        <f>IFERROR(INDEX('iCoA Register'!$D:$D,MATCH("P060382|I",'iCoA Register'!$P:$P,0)),"")</f>
        <v/>
      </c>
      <c r="J61" s="2" t="inlineStr">
        <is>
          <t>post-SOP</t>
        </is>
      </c>
      <c r="K61" s="2" t="inlineStr">
        <is>
          <t>initial release</t>
        </is>
      </c>
      <c r="L61" s="3" t="inlineStr">
        <is>
          <t>SCR012603</t>
        </is>
      </c>
      <c r="M61" s="2" t="inlineStr">
        <is>
          <t>P060382</t>
        </is>
      </c>
      <c r="N61" s="2" t="inlineStr">
        <is>
          <t>Scrambler</t>
        </is>
      </c>
      <c r="O61" s="6" t="inlineStr">
        <is>
          <t>— no cannabinoid certificate from the initial testing —</t>
        </is>
      </c>
      <c r="P61" s="6" t="inlineStr">
        <is>
          <t>—</t>
        </is>
      </c>
      <c r="Q61" s="2" t="inlineStr">
        <is>
          <t>—</t>
        </is>
      </c>
      <c r="R61" s="2" t="inlineStr">
        <is>
          <t>CoQ-PP-2026-0026</t>
        </is>
      </c>
      <c r="S61" s="2" t="inlineStr">
        <is>
          <t>P060382|I</t>
        </is>
      </c>
      <c r="T61" s="7" t="inlineStr">
        <is>
          <t>registered — provisional date: no initial certificate on file yet — the date follows the latest eCoA once located · initial certificate to locate: #3 (CNP), #4 (CNP), #5 (CNP), #6 (CNP), #8 (CNP), #9 (IJZ), #10 (CNP), #11 (CNP), #12 (CNP)</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Register'!$P:$P,0)),0),0)))</f>
        <v/>
      </c>
      <c r="E62" s="5">
        <f>IF(ISNUMBER(F62),MAX(DATE(2026,6,6),F62+7),DATE(2026,6,6))</f>
        <v/>
      </c>
      <c r="F62" s="5" t="n">
        <v>46203</v>
      </c>
      <c r="G62" s="2" t="inlineStr">
        <is>
          <t>ППК26110</t>
        </is>
      </c>
      <c r="H62" s="2">
        <f>IFERROR(INDEX('iCoA Register'!$B:$B,MATCH("P060392|I",'iCoA Register'!$P:$P,0)),"—")</f>
        <v/>
      </c>
      <c r="I62" s="5">
        <f>IFERROR(INDEX('iCoA Register'!$D:$D,MATCH("P060392|I",'iCoA Register'!$P:$P,0)),"")</f>
        <v/>
      </c>
      <c r="J62" s="2" t="inlineStr">
        <is>
          <t>post-SOP</t>
        </is>
      </c>
      <c r="K62" s="2" t="inlineStr">
        <is>
          <t>initial release</t>
        </is>
      </c>
      <c r="L62" s="3" t="inlineStr">
        <is>
          <t>FB012603V</t>
        </is>
      </c>
      <c r="M62" s="2" t="inlineStr">
        <is>
          <t>P060392</t>
        </is>
      </c>
      <c r="N62" s="2" t="inlineStr">
        <is>
          <t>Fat Bastard</t>
        </is>
      </c>
      <c r="O62" s="2" t="inlineStr">
        <is>
          <t>ППК26110, (30.06.2026) [CNP]</t>
        </is>
      </c>
      <c r="P62" s="2" t="inlineStr">
        <is>
          <t>A: ППК26110 / B: ППК26110 / FM: ППК26110</t>
        </is>
      </c>
      <c r="Q62" s="2" t="inlineStr">
        <is>
          <t>—</t>
        </is>
      </c>
      <c r="R62" s="2" t="inlineStr">
        <is>
          <t>(assigned on issue)</t>
        </is>
      </c>
      <c r="S62" s="2" t="inlineStr">
        <is>
          <t>P060392|I</t>
        </is>
      </c>
      <c r="T62" s="7" t="inlineStr">
        <is>
          <t>registered — first working day 7 days after the latest eCoA · initial certificate to locate: #9 (IJZ), #10 (CNP), #11 (CNP), #12 (CNP)</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Register'!$P:$P,0)),0),0)))</f>
        <v/>
      </c>
      <c r="E63" s="5">
        <f>IF(ISNUMBER(F63),MAX(DATE(2026,6,6),F63+7),DATE(2026,6,6))</f>
        <v/>
      </c>
      <c r="F63" s="5" t="n">
        <v>46203</v>
      </c>
      <c r="G63" s="2" t="inlineStr">
        <is>
          <t>ППК26111</t>
        </is>
      </c>
      <c r="H63" s="2">
        <f>IFERROR(INDEX('iCoA Register'!$B:$B,MATCH("P060362|I",'iCoA Register'!$P:$P,0)),"—")</f>
        <v/>
      </c>
      <c r="I63" s="5">
        <f>IFERROR(INDEX('iCoA Register'!$D:$D,MATCH("P060362|I",'iCoA Register'!$P:$P,0)),"")</f>
        <v/>
      </c>
      <c r="J63" s="2" t="inlineStr">
        <is>
          <t>post-SOP</t>
        </is>
      </c>
      <c r="K63" s="2" t="inlineStr">
        <is>
          <t>initial release</t>
        </is>
      </c>
      <c r="L63" s="3" t="inlineStr">
        <is>
          <t>JD012603</t>
        </is>
      </c>
      <c r="M63" s="2" t="inlineStr">
        <is>
          <t>P060362</t>
        </is>
      </c>
      <c r="N63" s="2" t="inlineStr"/>
      <c r="O63" s="2" t="inlineStr">
        <is>
          <t>ППК26111, (30.06.2026) [CNP]</t>
        </is>
      </c>
      <c r="P63" s="2" t="inlineStr">
        <is>
          <t>A: ППК26111 / B: ППК26111 / FM: ППК26111</t>
        </is>
      </c>
      <c r="Q63" s="2" t="inlineStr">
        <is>
          <t>—</t>
        </is>
      </c>
      <c r="R63" s="2" t="inlineStr">
        <is>
          <t>CoQ-PP-2026-0020</t>
        </is>
      </c>
      <c r="S63" s="2" t="inlineStr">
        <is>
          <t>P060362|I</t>
        </is>
      </c>
      <c r="T63" s="7" t="inlineStr">
        <is>
          <t>registered — first working day 7 days after the latest eCoA · initial certificate to locate: #9 (IJZ), #10 (CNP), #11 (CNP), #12 (CNP)</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Register'!$P:$P,0)),0),0)))</f>
        <v/>
      </c>
      <c r="E64" s="5">
        <f>IF(ISNUMBER(F64),MAX(DATE(2026,6,6),F64+7),DATE(2026,6,6))</f>
        <v/>
      </c>
      <c r="F64" s="5" t="n">
        <v>46203</v>
      </c>
      <c r="G64" s="2" t="inlineStr">
        <is>
          <t>ППК26111</t>
        </is>
      </c>
      <c r="H64" s="2">
        <f>IFERROR(INDEX('iCoA Register'!$B:$B,MATCH("P060422|I",'iCoA Register'!$P:$P,0)),"—")</f>
        <v/>
      </c>
      <c r="I64" s="5">
        <f>IFERROR(INDEX('iCoA Register'!$D:$D,MATCH("P060422|I",'iCoA Register'!$P:$P,0)),"")</f>
        <v/>
      </c>
      <c r="J64" s="2" t="inlineStr">
        <is>
          <t>post-SOP</t>
        </is>
      </c>
      <c r="K64" s="2" t="inlineStr">
        <is>
          <t>initial release</t>
        </is>
      </c>
      <c r="L64" s="3" t="inlineStr">
        <is>
          <t>JD012603</t>
        </is>
      </c>
      <c r="M64" s="2" t="inlineStr">
        <is>
          <t>P060422</t>
        </is>
      </c>
      <c r="N64" s="2" t="inlineStr"/>
      <c r="O64" s="2" t="inlineStr">
        <is>
          <t>ППК26111, (30.06.2026) [CNP]</t>
        </is>
      </c>
      <c r="P64" s="2" t="inlineStr">
        <is>
          <t>A: ППК26111 / B: ППК26111 / FM: ППК26111</t>
        </is>
      </c>
      <c r="Q64" s="2" t="inlineStr">
        <is>
          <t>—</t>
        </is>
      </c>
      <c r="R64" s="2" t="inlineStr">
        <is>
          <t>CoQ-PP-2026-0022</t>
        </is>
      </c>
      <c r="S64" s="2" t="inlineStr">
        <is>
          <t>P060422|I</t>
        </is>
      </c>
      <c r="T64" s="7" t="inlineStr">
        <is>
          <t>registered — first working day 7 days after the latest eCoA · initial certificate to locate: #9 (IJZ), #10 (CNP), #11 (CNP), #12 (CNP)</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Register'!$P:$P,0)),0),0)))</f>
        <v/>
      </c>
      <c r="E65" s="5">
        <f>IF(ISNUMBER(F65),MAX(DATE(2026,6,6),F65+7),DATE(2026,6,6))</f>
        <v/>
      </c>
      <c r="F65" s="5" t="n">
        <v>46203</v>
      </c>
      <c r="G65" s="2" t="inlineStr">
        <is>
          <t>ППК26114</t>
        </is>
      </c>
      <c r="H65" s="2">
        <f>IFERROR(INDEX('iCoA Register'!$B:$B,MATCH("P060402|I",'iCoA Register'!$P:$P,0)),"—")</f>
        <v/>
      </c>
      <c r="I65" s="5">
        <f>IFERROR(INDEX('iCoA Register'!$D:$D,MATCH("P060402|I",'iCoA Register'!$P:$P,0)),"")</f>
        <v/>
      </c>
      <c r="J65" s="2" t="inlineStr">
        <is>
          <t>post-SOP</t>
        </is>
      </c>
      <c r="K65" s="2" t="inlineStr">
        <is>
          <t>initial release</t>
        </is>
      </c>
      <c r="L65" s="3" t="inlineStr">
        <is>
          <t>GG012603</t>
        </is>
      </c>
      <c r="M65" s="2" t="inlineStr">
        <is>
          <t>P060402</t>
        </is>
      </c>
      <c r="N65" s="2" t="inlineStr">
        <is>
          <t>GorillaGlue</t>
        </is>
      </c>
      <c r="O65" s="2" t="inlineStr">
        <is>
          <t>ППК26114, (30.06.2026) [CNP]</t>
        </is>
      </c>
      <c r="P65" s="2" t="inlineStr">
        <is>
          <t>A: ППК26114 / B: ППК26114 / FM: ППК26114</t>
        </is>
      </c>
      <c r="Q65" s="2" t="inlineStr">
        <is>
          <t>—</t>
        </is>
      </c>
      <c r="R65" s="2" t="inlineStr">
        <is>
          <t>CoQ-PP-2026-0023</t>
        </is>
      </c>
      <c r="S65" s="2" t="inlineStr">
        <is>
          <t>P060402|I</t>
        </is>
      </c>
      <c r="T65" s="7" t="inlineStr">
        <is>
          <t>registered — first working day 7 days after the latest eCoA · initial certificate to locate: #9 (IJZ), #10 (CNP), #11 (CNP), #12 (CNP)</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Register'!$P:$P,0)),0),0)))</f>
        <v/>
      </c>
      <c r="E66" s="5">
        <f>IF(ISNUMBER(F66),MAX(DATE(2026,6,6),F66+7),DATE(2026,6,6))</f>
        <v/>
      </c>
      <c r="F66" s="5" t="n">
        <v>46203</v>
      </c>
      <c r="G66" s="2" t="inlineStr">
        <is>
          <t>ППК26111</t>
        </is>
      </c>
      <c r="H66" s="2">
        <f>IFERROR(INDEX('iCoA Register'!$B:$B,MATCH("P060412|I",'iCoA Register'!$P:$P,0)),"—")</f>
        <v/>
      </c>
      <c r="I66" s="5">
        <f>IFERROR(INDEX('iCoA Register'!$D:$D,MATCH("P060412|I",'iCoA Register'!$P:$P,0)),"")</f>
        <v/>
      </c>
      <c r="J66" s="2" t="inlineStr">
        <is>
          <t>post-SOP</t>
        </is>
      </c>
      <c r="K66" s="2" t="inlineStr">
        <is>
          <t>initial release</t>
        </is>
      </c>
      <c r="L66" s="3" t="inlineStr">
        <is>
          <t>JD012603</t>
        </is>
      </c>
      <c r="M66" s="2" t="inlineStr">
        <is>
          <t>P060412</t>
        </is>
      </c>
      <c r="N66" s="2" t="inlineStr"/>
      <c r="O66" s="2" t="inlineStr">
        <is>
          <t>ППК26111, (30.06.2026) [CNP]</t>
        </is>
      </c>
      <c r="P66" s="2" t="inlineStr">
        <is>
          <t>A: ППК26111 / B: ППК26111 / FM: ППК26111</t>
        </is>
      </c>
      <c r="Q66" s="2" t="inlineStr">
        <is>
          <t>—</t>
        </is>
      </c>
      <c r="R66" s="2" t="inlineStr">
        <is>
          <t>CoQ-PP-2026-0025</t>
        </is>
      </c>
      <c r="S66" s="2" t="inlineStr">
        <is>
          <t>P060412|I</t>
        </is>
      </c>
      <c r="T66" s="7" t="inlineStr">
        <is>
          <t>registered — first working day 7 days after the latest eCoA · initial certificate to locate: #9 (IJZ), #10 (CNP), #11 (CNP), #12 (CNP)</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Register'!$P:$P,0)),0),0)))</f>
        <v/>
      </c>
      <c r="E67" s="5">
        <f>IF(ISNUMBER(F67),MAX(DATE(2026,6,6),F67+7),DATE(2026,6,6))</f>
        <v/>
      </c>
      <c r="F67" s="5" t="n">
        <v>46203</v>
      </c>
      <c r="G67" s="2" t="inlineStr">
        <is>
          <t>ППК26112</t>
        </is>
      </c>
      <c r="H67" s="2">
        <f>IFERROR(INDEX('iCoA Register'!$B:$B,MATCH("P060432|I",'iCoA Register'!$P:$P,0)),"—")</f>
        <v/>
      </c>
      <c r="I67" s="5">
        <f>IFERROR(INDEX('iCoA Register'!$D:$D,MATCH("P060432|I",'iCoA Register'!$P:$P,0)),"")</f>
        <v/>
      </c>
      <c r="J67" s="2" t="inlineStr">
        <is>
          <t>post-SOP</t>
        </is>
      </c>
      <c r="K67" s="2" t="inlineStr">
        <is>
          <t>initial release</t>
        </is>
      </c>
      <c r="L67" s="3" t="inlineStr">
        <is>
          <t>FB012603</t>
        </is>
      </c>
      <c r="M67" s="2" t="inlineStr">
        <is>
          <t>P060432</t>
        </is>
      </c>
      <c r="N67" s="2" t="inlineStr">
        <is>
          <t>Fat Bastard</t>
        </is>
      </c>
      <c r="O67" s="2" t="inlineStr">
        <is>
          <t>ППК26112, (30.06.2026) [CNP]</t>
        </is>
      </c>
      <c r="P67" s="2" t="inlineStr">
        <is>
          <t>A: ППК26112 / B: ППК26112 / FM: ППК26112</t>
        </is>
      </c>
      <c r="Q67" s="2" t="inlineStr">
        <is>
          <t>—</t>
        </is>
      </c>
      <c r="R67" s="2" t="inlineStr">
        <is>
          <t>(assigned on issue)</t>
        </is>
      </c>
      <c r="S67" s="2" t="inlineStr">
        <is>
          <t>P060432|I</t>
        </is>
      </c>
      <c r="T67" s="7" t="inlineStr">
        <is>
          <t>registered — first working day 7 days after the latest eCoA · initial certificate to locate: #9 (IJZ), #10 (CNP), #11 (CNP), #12 (CNP)</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Register'!$P:$P,0)),0),0)))</f>
        <v/>
      </c>
      <c r="E68" s="5">
        <f>IF(ISNUMBER(F68),MAX(DATE(2026,6,6),F68+7),DATE(2026,6,6))</f>
        <v/>
      </c>
      <c r="F68" s="5" t="n">
        <v>46209</v>
      </c>
      <c r="G68" s="2" t="inlineStr">
        <is>
          <t>ППК26116</t>
        </is>
      </c>
      <c r="H68" s="2">
        <f>IFERROR(INDEX('iCoA Register'!$B:$B,MATCH("P060442|I",'iCoA Register'!$P:$P,0)),"—")</f>
        <v/>
      </c>
      <c r="I68" s="5">
        <f>IFERROR(INDEX('iCoA Register'!$D:$D,MATCH("P060442|I",'iCoA Register'!$P:$P,0)),"")</f>
        <v/>
      </c>
      <c r="J68" s="2" t="inlineStr">
        <is>
          <t>post-SOP</t>
        </is>
      </c>
      <c r="K68" s="2" t="inlineStr">
        <is>
          <t>initial release</t>
        </is>
      </c>
      <c r="L68" s="3" t="inlineStr">
        <is>
          <t>SCR022601</t>
        </is>
      </c>
      <c r="M68" s="2" t="inlineStr">
        <is>
          <t>P060442</t>
        </is>
      </c>
      <c r="N68" s="2" t="inlineStr">
        <is>
          <t>Scrambler</t>
        </is>
      </c>
      <c r="O68" s="2" t="inlineStr">
        <is>
          <t>ППК26116, (06.07.2026) [CNP]</t>
        </is>
      </c>
      <c r="P68" s="2" t="inlineStr">
        <is>
          <t>A: ППК26116 / B: ППК26116 / FM: ППК26116</t>
        </is>
      </c>
      <c r="Q68" s="2" t="inlineStr">
        <is>
          <t>—</t>
        </is>
      </c>
      <c r="R68" s="2" t="inlineStr">
        <is>
          <t>(assigned on issue)</t>
        </is>
      </c>
      <c r="S68" s="2" t="inlineStr">
        <is>
          <t>P060442|I</t>
        </is>
      </c>
      <c r="T68" s="7" t="inlineStr">
        <is>
          <t>registered — first working day 7 days after the latest eCoA · initial certificate to locate: #9 (IJZ), #10 (CNP), #11 (CNP), #12 (CNP)</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Register'!$P:$P,0)),0),0)))</f>
        <v/>
      </c>
      <c r="E69" s="5">
        <f>IF(ISNUMBER(F69),MAX(DATE(2026,6,6),F69+7),DATE(2026,6,6))</f>
        <v/>
      </c>
      <c r="F69" s="5" t="n">
        <v>46224</v>
      </c>
      <c r="G69" s="2" t="inlineStr">
        <is>
          <t>ППК26127</t>
        </is>
      </c>
      <c r="H69" s="2">
        <f>IFERROR(INDEX('iCoA Register'!$B:$B,MATCH("P060452|I",'iCoA Register'!$P:$P,0)),"—")</f>
        <v/>
      </c>
      <c r="I69" s="5">
        <f>IFERROR(INDEX('iCoA Register'!$D:$D,MATCH("P060452|I",'iCoA Register'!$P:$P,0)),"")</f>
        <v/>
      </c>
      <c r="J69" s="2" t="inlineStr">
        <is>
          <t>post-SOP</t>
        </is>
      </c>
      <c r="K69" s="2" t="inlineStr">
        <is>
          <t>initial release</t>
        </is>
      </c>
      <c r="L69" s="3" t="inlineStr">
        <is>
          <t>FB032601</t>
        </is>
      </c>
      <c r="M69" s="2" t="inlineStr">
        <is>
          <t>P060452</t>
        </is>
      </c>
      <c r="N69" s="2" t="inlineStr">
        <is>
          <t>FatBastard</t>
        </is>
      </c>
      <c r="O69" s="2" t="inlineStr">
        <is>
          <t>ППК26127, (21.07.2026) [CNP]</t>
        </is>
      </c>
      <c r="P69" s="2" t="inlineStr">
        <is>
          <t>A: ППК26127 / B: ППК26127 / FM: ППК26127</t>
        </is>
      </c>
      <c r="Q69" s="2" t="inlineStr">
        <is>
          <t>—</t>
        </is>
      </c>
      <c r="R69" s="2" t="inlineStr">
        <is>
          <t>(assigned on issue)</t>
        </is>
      </c>
      <c r="S69" s="2" t="inlineStr">
        <is>
          <t>P060452|I</t>
        </is>
      </c>
      <c r="T69" s="7" t="inlineStr">
        <is>
          <t>registered — first working day 7 days after the latest eCoA · initial certificate to locate: #9 (IJZ), #10 (CNP), #11 (CNP), #12 (CNP)</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Register'!$P:$P,0)),0),0)))</f>
        <v/>
      </c>
      <c r="E70" s="5">
        <f>IF(ISNUMBER(F70),MAX(DATE(2026,6,6),F70+7),DATE(2026,6,6))</f>
        <v/>
      </c>
      <c r="F70" s="5" t="n">
        <v>46224</v>
      </c>
      <c r="G70" s="2" t="inlineStr">
        <is>
          <t>ППК26128</t>
        </is>
      </c>
      <c r="H70" s="2">
        <f>IFERROR(INDEX('iCoA Register'!$B:$B,MATCH("P060462|I",'iCoA Register'!$P:$P,0)),"—")</f>
        <v/>
      </c>
      <c r="I70" s="5">
        <f>IFERROR(INDEX('iCoA Register'!$D:$D,MATCH("P060462|I",'iCoA Register'!$P:$P,0)),"")</f>
        <v/>
      </c>
      <c r="J70" s="2" t="inlineStr">
        <is>
          <t>post-SOP</t>
        </is>
      </c>
      <c r="K70" s="2" t="inlineStr">
        <is>
          <t>initial release</t>
        </is>
      </c>
      <c r="L70" s="3" t="inlineStr">
        <is>
          <t>GG032601</t>
        </is>
      </c>
      <c r="M70" s="2" t="inlineStr">
        <is>
          <t>P060462</t>
        </is>
      </c>
      <c r="N70" s="2" t="inlineStr">
        <is>
          <t>GorillaGlue</t>
        </is>
      </c>
      <c r="O70" s="2" t="inlineStr">
        <is>
          <t>ППК26128, (21.07.2026) [CNP]</t>
        </is>
      </c>
      <c r="P70" s="2" t="inlineStr">
        <is>
          <t>A: ППК26128 / B: ППК26128 / FM: ППК26128</t>
        </is>
      </c>
      <c r="Q70" s="2" t="inlineStr">
        <is>
          <t>—</t>
        </is>
      </c>
      <c r="R70" s="2" t="inlineStr">
        <is>
          <t>(assigned on issue)</t>
        </is>
      </c>
      <c r="S70" s="2" t="inlineStr">
        <is>
          <t>P060462|I</t>
        </is>
      </c>
      <c r="T70" s="7" t="inlineStr">
        <is>
          <t>registered — first working day 7 days after the latest eCoA · initial certificate to locate: #9 (IJZ), #10 (CNP), #11 (CNP), #12 (CNP)</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Register'!$P:$P,0)),0),0)))</f>
        <v/>
      </c>
      <c r="E71" s="5">
        <f>IF(ISNUMBER(F71),MAX(DATE(2026,6,6),F71+7),DATE(2026,6,6))</f>
        <v/>
      </c>
      <c r="F71" s="5" t="n">
        <v>46203</v>
      </c>
      <c r="G71" s="2" t="inlineStr">
        <is>
          <t>ППК26115</t>
        </is>
      </c>
      <c r="H71" s="2">
        <f>IFERROR(INDEX('iCoA Register'!$B:$B,MATCH("P060482|I",'iCoA Register'!$P:$P,0)),"—")</f>
        <v/>
      </c>
      <c r="I71" s="5">
        <f>IFERROR(INDEX('iCoA Register'!$D:$D,MATCH("P060482|I",'iCoA Register'!$P:$P,0)),"")</f>
        <v/>
      </c>
      <c r="J71" s="2" t="inlineStr">
        <is>
          <t>post-SOP</t>
        </is>
      </c>
      <c r="K71" s="2" t="inlineStr">
        <is>
          <t>initial release</t>
        </is>
      </c>
      <c r="L71" s="3" t="inlineStr">
        <is>
          <t>JD022601</t>
        </is>
      </c>
      <c r="M71" s="2" t="inlineStr">
        <is>
          <t>P060482</t>
        </is>
      </c>
      <c r="N71" s="2" t="inlineStr">
        <is>
          <t>JellyDonutz</t>
        </is>
      </c>
      <c r="O71" s="2" t="inlineStr">
        <is>
          <t>ППК26115, (30.06.2026) [CNP]</t>
        </is>
      </c>
      <c r="P71" s="2" t="inlineStr">
        <is>
          <t>A: ППК26115 / B: ППК26115 / FM: ППК26115</t>
        </is>
      </c>
      <c r="Q71" s="2" t="inlineStr">
        <is>
          <t>—</t>
        </is>
      </c>
      <c r="R71" s="2" t="inlineStr">
        <is>
          <t>(assigned on issue)</t>
        </is>
      </c>
      <c r="S71" s="2" t="inlineStr">
        <is>
          <t>P060482|I</t>
        </is>
      </c>
      <c r="T71" s="7" t="inlineStr">
        <is>
          <t>registered — held to the packaging date · initial certificate to locate: #9 (IJZ), #10 (CNP), #11 (CNP), #12 (CNP)</t>
        </is>
      </c>
    </row>
    <row r="72">
      <c r="A72" s="2">
        <f>IF(C72="yes",COUNT(A$1:A71)+1,"")</f>
        <v/>
      </c>
      <c r="B72" s="3">
        <f>IF(A72&lt;&gt;"","CoQ-PP_26-"&amp;TEXT(A72,"000"),"— at issue —")</f>
        <v/>
      </c>
      <c r="C72" s="6" t="inlineStr">
        <is>
          <t>no</t>
        </is>
      </c>
      <c r="D72" s="5">
        <f>IF(A72="","",MAX(E72,IF(ISNUMBER(I72),I72,0),IFERROR(IF(ISNUMBER(INDEX('iCoA Register'!$F:$F,MATCH(S72,'iCoA Register'!$P:$P,0))),INDEX('iCoA Register'!$F:$F,MATCH(S72,'iCoA Register'!$P:$P,0)),0),0)))</f>
        <v/>
      </c>
      <c r="E72" s="5">
        <f>IF(ISNUMBER(F72),MAX(DATE(2026,6,6),F72+7),DATE(2026,6,6))</f>
        <v/>
      </c>
      <c r="F72" s="5" t="inlineStr">
        <is>
          <t>—</t>
        </is>
      </c>
      <c r="G72" s="2" t="inlineStr">
        <is>
          <t>—</t>
        </is>
      </c>
      <c r="H72" s="2">
        <f>IFERROR(INDEX('iCoA Register'!$B:$B,MATCH("GG1024|I",'iCoA Register'!$P:$P,0)),"—")</f>
        <v/>
      </c>
      <c r="I72" s="5">
        <f>IFERROR(INDEX('iCoA Register'!$D:$D,MATCH("GG1024|I",'iCoA Register'!$P:$P,0)),"")</f>
        <v/>
      </c>
      <c r="J72" s="2" t="inlineStr">
        <is>
          <t>legacy</t>
        </is>
      </c>
      <c r="K72" s="2" t="inlineStr">
        <is>
          <t>initial release</t>
        </is>
      </c>
      <c r="L72" s="3" t="inlineStr">
        <is>
          <t>GG1024</t>
        </is>
      </c>
      <c r="M72" s="2" t="inlineStr">
        <is>
          <t>N/A — no P batch assigned</t>
        </is>
      </c>
      <c r="N72" s="2" t="inlineStr">
        <is>
          <t>Gorilla Glue</t>
        </is>
      </c>
      <c r="O72" s="6" t="inlineStr">
        <is>
          <t>— no cannabinoid certificate from the initial testing —</t>
        </is>
      </c>
      <c r="P72" s="6" t="inlineStr">
        <is>
          <t>—</t>
        </is>
      </c>
      <c r="Q72" s="2" t="inlineStr">
        <is>
          <t>—</t>
        </is>
      </c>
      <c r="R72" s="2" t="inlineStr">
        <is>
          <t>CoQ-PP-2025-0003</t>
        </is>
      </c>
      <c r="S72" s="2" t="inlineStr">
        <is>
          <t>GG1024|I</t>
        </is>
      </c>
      <c r="T72" s="8" t="inlineStr">
        <is>
          <t>not yet issuable — its iCoA is not yet issuable</t>
        </is>
      </c>
    </row>
    <row r="73">
      <c r="A73" s="2">
        <f>IF(C73="yes",COUNT(A$1:A72)+1,"")</f>
        <v/>
      </c>
      <c r="B73" s="3">
        <f>IF(A73&lt;&gt;"","CoQ-PP_26-"&amp;TEXT(A73,"000"),"— at issue —")</f>
        <v/>
      </c>
      <c r="C73" s="6" t="inlineStr">
        <is>
          <t>no</t>
        </is>
      </c>
      <c r="D73" s="5">
        <f>IF(A73="","",MAX(E73,IF(ISNUMBER(I73),I73,0),IFERROR(IF(ISNUMBER(INDEX('iCoA Register'!$F:$F,MATCH(S73,'iCoA Register'!$P:$P,0))),INDEX('iCoA Register'!$F:$F,MATCH(S73,'iCoA Register'!$P:$P,0)),0),0)))</f>
        <v/>
      </c>
      <c r="E73" s="5">
        <f>IF(ISNUMBER(F73),MAX(DATE(2026,6,6),F73+7),DATE(2026,6,6))</f>
        <v/>
      </c>
      <c r="F73" s="5" t="n">
        <v>45784</v>
      </c>
      <c r="G73" s="2" t="inlineStr">
        <is>
          <t>2156-2025</t>
        </is>
      </c>
      <c r="H73" s="2">
        <f>IFERROR(INDEX('iCoA Register'!$B:$B,MATCH("P050042|I",'iCoA Register'!$P:$P,0)),"—")</f>
        <v/>
      </c>
      <c r="I73" s="5">
        <f>IFERROR(INDEX('iCoA Register'!$D:$D,MATCH("P050042|I",'iCoA Register'!$P:$P,0)),"")</f>
        <v/>
      </c>
      <c r="J73" s="2" t="inlineStr">
        <is>
          <t>legacy</t>
        </is>
      </c>
      <c r="K73" s="2" t="inlineStr">
        <is>
          <t>initial release</t>
        </is>
      </c>
      <c r="L73" s="3" t="inlineStr">
        <is>
          <t>OMP1024_01</t>
        </is>
      </c>
      <c r="M73" s="2" t="inlineStr">
        <is>
          <t>P050042</t>
        </is>
      </c>
      <c r="N73" s="2" t="inlineStr">
        <is>
          <t>Orange Punch Mimosa</t>
        </is>
      </c>
      <c r="O73" s="2" t="inlineStr">
        <is>
          <t>ППК25117, (06.05.2025) [CNP]</t>
        </is>
      </c>
      <c r="P73" s="6" t="inlineStr">
        <is>
          <t>—</t>
        </is>
      </c>
      <c r="Q73" s="2" t="inlineStr">
        <is>
          <t>—</t>
        </is>
      </c>
      <c r="R73" s="2" t="inlineStr">
        <is>
          <t>CoQ-PP-2025-0007</t>
        </is>
      </c>
      <c r="S73" s="2" t="inlineStr">
        <is>
          <t>P050042|I</t>
        </is>
      </c>
      <c r="T73" s="8" t="inlineStr">
        <is>
          <t>not yet issuable — its iCoA is not yet issuable</t>
        </is>
      </c>
    </row>
    <row r="74">
      <c r="A74" s="2">
        <f>IF(C74="yes",COUNT(A$1:A73)+1,"")</f>
        <v/>
      </c>
      <c r="B74" s="3">
        <f>IF(A74&lt;&gt;"","CoQ-PP_26-"&amp;TEXT(A74,"000"),"— at issue —")</f>
        <v/>
      </c>
      <c r="C74" s="6" t="inlineStr">
        <is>
          <t>no</t>
        </is>
      </c>
      <c r="D74" s="5">
        <f>IF(A74="","",MAX(E74,IF(ISNUMBER(I74),I74,0),IFERROR(IF(ISNUMBER(INDEX('iCoA Register'!$F:$F,MATCH(S74,'iCoA Register'!$P:$P,0))),INDEX('iCoA Register'!$F:$F,MATCH(S74,'iCoA Register'!$P:$P,0)),0),0)))</f>
        <v/>
      </c>
      <c r="E74" s="5">
        <f>IF(ISNUMBER(F74),MAX(DATE(2026,6,6),F74+7),DATE(2026,6,6))</f>
        <v/>
      </c>
      <c r="F74" s="5" t="n">
        <v>45848</v>
      </c>
      <c r="G74" s="2" t="inlineStr">
        <is>
          <t>ППК25176</t>
        </is>
      </c>
      <c r="H74" s="2">
        <f>IFERROR(INDEX('iCoA Register'!$B:$B,MATCH("P050122|I",'iCoA Register'!$P:$P,0)),"—")</f>
        <v/>
      </c>
      <c r="I74" s="5">
        <f>IFERROR(INDEX('iCoA Register'!$D:$D,MATCH("P050122|I",'iCoA Register'!$P:$P,0)),"")</f>
        <v/>
      </c>
      <c r="J74" s="2" t="inlineStr">
        <is>
          <t>legacy</t>
        </is>
      </c>
      <c r="K74" s="2" t="inlineStr">
        <is>
          <t>initial release</t>
        </is>
      </c>
      <c r="L74" s="3" t="inlineStr">
        <is>
          <t>BSS1024_01/1</t>
        </is>
      </c>
      <c r="M74" s="2" t="inlineStr">
        <is>
          <t>P050122</t>
        </is>
      </c>
      <c r="N74" s="2" t="inlineStr">
        <is>
          <t>Blue Sunset Sherbet</t>
        </is>
      </c>
      <c r="O74" s="2" t="inlineStr">
        <is>
          <t>ППК25176, (10.07.2025) [CNP]</t>
        </is>
      </c>
      <c r="P74" s="6" t="inlineStr">
        <is>
          <t>—</t>
        </is>
      </c>
      <c r="Q74" s="2" t="inlineStr">
        <is>
          <t>—</t>
        </is>
      </c>
      <c r="R74" s="2" t="inlineStr">
        <is>
          <t>— not in the issuance plan —</t>
        </is>
      </c>
      <c r="S74" s="2" t="inlineStr">
        <is>
          <t>P050122|I</t>
        </is>
      </c>
      <c r="T74" s="8" t="inlineStr">
        <is>
          <t>not yet issuable — its iCoA is not yet issuable</t>
        </is>
      </c>
    </row>
    <row r="75">
      <c r="A75" s="2">
        <f>IF(C75="yes",COUNT(A$1:A74)+1,"")</f>
        <v/>
      </c>
      <c r="B75" s="3">
        <f>IF(A75&lt;&gt;"","CoQ-PP_26-"&amp;TEXT(A75,"000"),"— at issue —")</f>
        <v/>
      </c>
      <c r="C75" s="6" t="inlineStr">
        <is>
          <t>no</t>
        </is>
      </c>
      <c r="D75" s="5">
        <f>IF(A75="","",MAX(E75,IF(ISNUMBER(I75),I75,0),IFERROR(IF(ISNUMBER(INDEX('iCoA Register'!$F:$F,MATCH(S75,'iCoA Register'!$P:$P,0))),INDEX('iCoA Register'!$F:$F,MATCH(S75,'iCoA Register'!$P:$P,0)),0),0)))</f>
        <v/>
      </c>
      <c r="E75" s="5">
        <f>IF(ISNUMBER(F75),MAX(DATE(2026,6,6),F75+7),DATE(2026,6,6))</f>
        <v/>
      </c>
      <c r="F75" s="5" t="inlineStr">
        <is>
          <t>—</t>
        </is>
      </c>
      <c r="G75" s="2" t="inlineStr">
        <is>
          <t>—</t>
        </is>
      </c>
      <c r="H75" s="2">
        <f>IFERROR(INDEX('iCoA Register'!$B:$B,MATCH("P050142|I",'iCoA Register'!$P:$P,0)),"—")</f>
        <v/>
      </c>
      <c r="I75" s="5">
        <f>IFERROR(INDEX('iCoA Register'!$D:$D,MATCH("P050142|I",'iCoA Register'!$P:$P,0)),"")</f>
        <v/>
      </c>
      <c r="J75" s="2" t="inlineStr">
        <is>
          <t>legacy</t>
        </is>
      </c>
      <c r="K75" s="2" t="inlineStr">
        <is>
          <t>initial release</t>
        </is>
      </c>
      <c r="L75" s="3" t="inlineStr">
        <is>
          <t>BSS1024_01/2</t>
        </is>
      </c>
      <c r="M75" s="2" t="inlineStr">
        <is>
          <t>P050142</t>
        </is>
      </c>
      <c r="N75" s="2" t="inlineStr">
        <is>
          <t>Blue Sunset Sherbet</t>
        </is>
      </c>
      <c r="O75" s="6" t="inlineStr">
        <is>
          <t>— no cannabinoid certificate from the initial testing —</t>
        </is>
      </c>
      <c r="P75" s="6" t="inlineStr">
        <is>
          <t>—</t>
        </is>
      </c>
      <c r="Q75" s="2" t="inlineStr">
        <is>
          <t>—</t>
        </is>
      </c>
      <c r="R75" s="2" t="inlineStr">
        <is>
          <t>— not in the issuance plan —</t>
        </is>
      </c>
      <c r="S75" s="2" t="inlineStr">
        <is>
          <t>P050142|I</t>
        </is>
      </c>
      <c r="T75" s="8" t="inlineStr">
        <is>
          <t>not yet issuable — its iCoA is not yet issuable</t>
        </is>
      </c>
    </row>
    <row r="76">
      <c r="A76" s="2">
        <f>IF(C76="yes",COUNT(A$1:A75)+1,"")</f>
        <v/>
      </c>
      <c r="B76" s="3">
        <f>IF(A76&lt;&gt;"","CoQ-PP_26-"&amp;TEXT(A76,"000"),"— at issue —")</f>
        <v/>
      </c>
      <c r="C76" s="6" t="inlineStr">
        <is>
          <t>no</t>
        </is>
      </c>
      <c r="D76" s="5">
        <f>IF(A76="","",MAX(E76,IF(ISNUMBER(I76),I76,0),IFERROR(IF(ISNUMBER(INDEX('iCoA Register'!$F:$F,MATCH(S76,'iCoA Register'!$P:$P,0))),INDEX('iCoA Register'!$F:$F,MATCH(S76,'iCoA Register'!$P:$P,0)),0),0)))</f>
        <v/>
      </c>
      <c r="E76" s="5">
        <f>IF(ISNUMBER(F76),MAX(DATE(2026,6,6),F76+7),DATE(2026,6,6))</f>
        <v/>
      </c>
      <c r="F76" s="5" t="inlineStr">
        <is>
          <t>—</t>
        </is>
      </c>
      <c r="G76" s="2" t="inlineStr">
        <is>
          <t>—</t>
        </is>
      </c>
      <c r="H76" s="2">
        <f>IFERROR(INDEX('iCoA Register'!$B:$B,MATCH("P060102|I",'iCoA Register'!$P:$P,0)),"—")</f>
        <v/>
      </c>
      <c r="I76" s="5">
        <f>IFERROR(INDEX('iCoA Register'!$D:$D,MATCH("P060102|I",'iCoA Register'!$P:$P,0)),"")</f>
        <v/>
      </c>
      <c r="J76" s="2" t="inlineStr">
        <is>
          <t>legacy</t>
        </is>
      </c>
      <c r="K76" s="2" t="inlineStr">
        <is>
          <t>initial release</t>
        </is>
      </c>
      <c r="L76" s="3" t="inlineStr">
        <is>
          <t>WED102501</t>
        </is>
      </c>
      <c r="M76" s="2" t="inlineStr">
        <is>
          <t>P060102</t>
        </is>
      </c>
      <c r="N76" s="2" t="inlineStr">
        <is>
          <t>Wedding Cake</t>
        </is>
      </c>
      <c r="O76" s="6" t="inlineStr">
        <is>
          <t>— no cannabinoid certificate from the initial testing —</t>
        </is>
      </c>
      <c r="P76" s="6" t="inlineStr">
        <is>
          <t>—</t>
        </is>
      </c>
      <c r="Q76" s="2" t="inlineStr">
        <is>
          <t>—</t>
        </is>
      </c>
      <c r="R76" s="2" t="inlineStr">
        <is>
          <t>— not in the issuance plan —</t>
        </is>
      </c>
      <c r="S76" s="2" t="inlineStr">
        <is>
          <t>P060102|I</t>
        </is>
      </c>
      <c r="T76" s="8" t="inlineStr">
        <is>
          <t>not yet issuable — its iCoA is not yet issuable</t>
        </is>
      </c>
    </row>
    <row r="77">
      <c r="A77" s="2">
        <f>IF(C77="yes",COUNT(A$1:A76)+1,"")</f>
        <v/>
      </c>
      <c r="B77" s="3">
        <f>IF(A77&lt;&gt;"","CoQ-PP_26-"&amp;TEXT(A77,"000"),"— at issue —")</f>
        <v/>
      </c>
      <c r="C77" s="6" t="inlineStr">
        <is>
          <t>no</t>
        </is>
      </c>
      <c r="D77" s="5">
        <f>IF(A77="","",MAX(E77,IF(ISNUMBER(I77),I77,0),IFERROR(IF(ISNUMBER(INDEX('iCoA Register'!$F:$F,MATCH(S77,'iCoA Register'!$P:$P,0))),INDEX('iCoA Register'!$F:$F,MATCH(S77,'iCoA Register'!$P:$P,0)),0),0)))</f>
        <v/>
      </c>
      <c r="E77" s="5">
        <f>IF(ISNUMBER(F77),MAX(DATE(2026,6,6),F77+7),DATE(2026,6,6))</f>
        <v/>
      </c>
      <c r="F77" s="5" t="n">
        <v>46083</v>
      </c>
      <c r="G77" s="2" t="inlineStr">
        <is>
          <t>051-6-LoD-26</t>
        </is>
      </c>
      <c r="H77" s="2">
        <f>IFERROR(INDEX('iCoA Register'!$B:$B,MATCH("P060142|I",'iCoA Register'!$P:$P,0)),"—")</f>
        <v/>
      </c>
      <c r="I77" s="5">
        <f>IFERROR(INDEX('iCoA Register'!$D:$D,MATCH("P060142|I",'iCoA Register'!$P:$P,0)),"")</f>
        <v/>
      </c>
      <c r="J77" s="2" t="inlineStr">
        <is>
          <t>legacy</t>
        </is>
      </c>
      <c r="K77" s="2" t="inlineStr">
        <is>
          <t>initial release</t>
        </is>
      </c>
      <c r="L77" s="3" t="inlineStr">
        <is>
          <t>GRC102501</t>
        </is>
      </c>
      <c r="M77" s="2" t="inlineStr">
        <is>
          <t>P060142</t>
        </is>
      </c>
      <c r="N77" s="2" t="inlineStr">
        <is>
          <t>Graps &amp; Creme</t>
        </is>
      </c>
      <c r="O77" s="2" t="inlineStr">
        <is>
          <t>051-6-K-26, (04.03.2026) [FHM-K]</t>
        </is>
      </c>
      <c r="P77" s="6" t="inlineStr">
        <is>
          <t>—</t>
        </is>
      </c>
      <c r="Q77" s="2" t="inlineStr">
        <is>
          <t>—</t>
        </is>
      </c>
      <c r="R77" s="2" t="inlineStr">
        <is>
          <t>— not in the issuance plan —</t>
        </is>
      </c>
      <c r="S77" s="2" t="inlineStr">
        <is>
          <t>P060142|I</t>
        </is>
      </c>
      <c r="T77" s="8" t="inlineStr">
        <is>
          <t>not yet issuable — its iCoA is not yet issuable</t>
        </is>
      </c>
    </row>
    <row r="78">
      <c r="A78" s="2">
        <f>IF(C78="yes",COUNT(A$1:A77)+1,"")</f>
        <v/>
      </c>
      <c r="B78" s="3">
        <f>IF(A78&lt;&gt;"","CoQ-PP_26-"&amp;TEXT(A78,"000"),"— at issue —")</f>
        <v/>
      </c>
      <c r="C78" s="6" t="inlineStr">
        <is>
          <t>no</t>
        </is>
      </c>
      <c r="D78" s="5">
        <f>IF(A78="","",MAX(E78,IF(ISNUMBER(I78),I78,0),IFERROR(IF(ISNUMBER(INDEX('iCoA Register'!$F:$F,MATCH(S78,'iCoA Register'!$P:$P,0))),INDEX('iCoA Register'!$F:$F,MATCH(S78,'iCoA Register'!$P:$P,0)),0),0)))</f>
        <v/>
      </c>
      <c r="E78" s="5">
        <f>IF(ISNUMBER(F78),MAX(DATE(2026,6,6),F78+7),DATE(2026,6,6))</f>
        <v/>
      </c>
      <c r="F78" s="5" t="n">
        <v>46153</v>
      </c>
      <c r="G78" s="2" t="inlineStr">
        <is>
          <t>ППК26065</t>
        </is>
      </c>
      <c r="H78" s="2">
        <f>IFERROR(INDEX('iCoA Register'!$B:$B,MATCH("JD112501|I",'iCoA Register'!$P:$P,0)),"—")</f>
        <v/>
      </c>
      <c r="I78" s="5">
        <f>IFERROR(INDEX('iCoA Register'!$D:$D,MATCH("JD112501|I",'iCoA Register'!$P:$P,0)),"")</f>
        <v/>
      </c>
      <c r="J78" s="2" t="inlineStr">
        <is>
          <t>—</t>
        </is>
      </c>
      <c r="K78" s="2" t="inlineStr">
        <is>
          <t>initial release</t>
        </is>
      </c>
      <c r="L78" s="3" t="inlineStr">
        <is>
          <t>JD112501＊</t>
        </is>
      </c>
      <c r="M78" s="2" t="inlineStr">
        <is>
          <t>N/A — no P batch assigned</t>
        </is>
      </c>
      <c r="N78" s="2" t="inlineStr">
        <is>
          <t>Jelly Donutz</t>
        </is>
      </c>
      <c r="O78" s="2" t="inlineStr">
        <is>
          <t>ППК26065, (11.05.2026) [CNP]</t>
        </is>
      </c>
      <c r="P78" s="6" t="inlineStr">
        <is>
          <t>—</t>
        </is>
      </c>
      <c r="Q78" s="2" t="inlineStr">
        <is>
          <t>—</t>
        </is>
      </c>
      <c r="R78" s="2" t="inlineStr">
        <is>
          <t>CoQ-PP-2026-0015</t>
        </is>
      </c>
      <c r="S78" s="2" t="inlineStr">
        <is>
          <t>JD112501|I</t>
        </is>
      </c>
      <c r="T78" s="8" t="inlineStr">
        <is>
          <t>not yet issuable — no packaging date on the list</t>
        </is>
      </c>
    </row>
    <row r="79">
      <c r="A79" s="2">
        <f>IF(C79="yes",COUNT(A$1:A78)+1,"")</f>
        <v/>
      </c>
      <c r="B79" s="3">
        <f>IF(A79&lt;&gt;"","CoQ-PP_26-"&amp;TEXT(A79,"000"),"— at issue —")</f>
        <v/>
      </c>
      <c r="C79" s="6" t="inlineStr">
        <is>
          <t>no</t>
        </is>
      </c>
      <c r="D79" s="5">
        <f>IF(A79="","",MAX(E79,IF(ISNUMBER(I79),I79,0),IFERROR(IF(ISNUMBER(INDEX('iCoA Register'!$F:$F,MATCH(S79,'iCoA Register'!$P:$P,0))),INDEX('iCoA Register'!$F:$F,MATCH(S79,'iCoA Register'!$P:$P,0)),0),0)))</f>
        <v/>
      </c>
      <c r="E79" s="5">
        <f>IF(ISNUMBER(F79),MAX(DATE(2026,6,6),F79+7),DATE(2026,6,6))</f>
        <v/>
      </c>
      <c r="F79" s="5" t="n">
        <v>46153</v>
      </c>
      <c r="G79" s="2" t="inlineStr">
        <is>
          <t>ППК26062</t>
        </is>
      </c>
      <c r="H79" s="2">
        <f>IFERROR(INDEX('iCoA Register'!$B:$B,MATCH("P060302|I",'iCoA Register'!$P:$P,0)),"—")</f>
        <v/>
      </c>
      <c r="I79" s="5">
        <f>IFERROR(INDEX('iCoA Register'!$D:$D,MATCH("P060302|I",'iCoA Register'!$P:$P,0)),"")</f>
        <v/>
      </c>
      <c r="J79" s="2" t="inlineStr">
        <is>
          <t>post-SOP</t>
        </is>
      </c>
      <c r="K79" s="2" t="inlineStr">
        <is>
          <t>initial release</t>
        </is>
      </c>
      <c r="L79" s="3" t="inlineStr">
        <is>
          <t>GG012601＊</t>
        </is>
      </c>
      <c r="M79" s="2" t="inlineStr">
        <is>
          <t>P060302</t>
        </is>
      </c>
      <c r="N79" s="2" t="inlineStr">
        <is>
          <t>Gorilla Glue</t>
        </is>
      </c>
      <c r="O79" s="2" t="inlineStr">
        <is>
          <t>ППК26062, (11.05.2026) [CNP]</t>
        </is>
      </c>
      <c r="P79" s="6" t="inlineStr">
        <is>
          <t>—</t>
        </is>
      </c>
      <c r="Q79" s="2" t="inlineStr">
        <is>
          <t>—</t>
        </is>
      </c>
      <c r="R79" s="2" t="inlineStr">
        <is>
          <t>(assigned on issue)</t>
        </is>
      </c>
      <c r="S79" s="2" t="inlineStr">
        <is>
          <t>P060302|I</t>
        </is>
      </c>
      <c r="T79" s="8" t="inlineStr">
        <is>
          <t>not yet issuable — its iCoA is not yet issuable</t>
        </is>
      </c>
    </row>
    <row r="80">
      <c r="A80" s="2">
        <f>IF(C80="yes",COUNT(A$1:A79)+1,"")</f>
        <v/>
      </c>
      <c r="B80" s="3">
        <f>IF(A80&lt;&gt;"","CoQ-PP_26-"&amp;TEXT(A80,"000"),"— at issue —")</f>
        <v/>
      </c>
      <c r="C80" s="6" t="inlineStr">
        <is>
          <t>no</t>
        </is>
      </c>
      <c r="D80" s="5">
        <f>IF(A80="","",MAX(E80,IF(ISNUMBER(I80),I80,0),IFERROR(IF(ISNUMBER(INDEX('iCoA Register'!$F:$F,MATCH(S80,'iCoA Register'!$P:$P,0))),INDEX('iCoA Register'!$F:$F,MATCH(S80,'iCoA Register'!$P:$P,0)),0),0)))</f>
        <v/>
      </c>
      <c r="E80" s="5">
        <f>IF(ISNUMBER(F80),MAX(DATE(2026,6,6),F80+7),DATE(2026,6,6))</f>
        <v/>
      </c>
      <c r="F80" s="5" t="n">
        <v>46153</v>
      </c>
      <c r="G80" s="2" t="inlineStr">
        <is>
          <t>ППК26064</t>
        </is>
      </c>
      <c r="H80" s="2">
        <f>IFERROR(INDEX('iCoA Register'!$B:$B,MATCH("P060312|I",'iCoA Register'!$P:$P,0)),"—")</f>
        <v/>
      </c>
      <c r="I80" s="5">
        <f>IFERROR(INDEX('iCoA Register'!$D:$D,MATCH("P060312|I",'iCoA Register'!$P:$P,0)),"")</f>
        <v/>
      </c>
      <c r="J80" s="2" t="inlineStr">
        <is>
          <t>post-SOP</t>
        </is>
      </c>
      <c r="K80" s="2" t="inlineStr">
        <is>
          <t>initial release</t>
        </is>
      </c>
      <c r="L80" s="3" t="inlineStr">
        <is>
          <t>JD012601＊</t>
        </is>
      </c>
      <c r="M80" s="2" t="inlineStr">
        <is>
          <t>P060312</t>
        </is>
      </c>
      <c r="N80" s="2" t="inlineStr">
        <is>
          <t>Jelly Donutz</t>
        </is>
      </c>
      <c r="O80" s="2" t="inlineStr">
        <is>
          <t>ППК26064, (11.05.2026) [CNP]</t>
        </is>
      </c>
      <c r="P80" s="6" t="inlineStr">
        <is>
          <t>—</t>
        </is>
      </c>
      <c r="Q80" s="2" t="inlineStr">
        <is>
          <t>—</t>
        </is>
      </c>
      <c r="R80" s="2" t="inlineStr">
        <is>
          <t>(assigned on issue)</t>
        </is>
      </c>
      <c r="S80" s="2" t="inlineStr">
        <is>
          <t>P060312|I</t>
        </is>
      </c>
      <c r="T80" s="8" t="inlineStr">
        <is>
          <t>not yet issuable — its iCoA is not yet issuable</t>
        </is>
      </c>
    </row>
    <row r="81">
      <c r="A81" s="2">
        <f>IF(C81="yes",COUNT(A$1:A80)+1,"")</f>
        <v/>
      </c>
      <c r="B81" s="3">
        <f>IF(A81&lt;&gt;"","CoQ-PP_26-"&amp;TEXT(A81,"000"),"— at issue —")</f>
        <v/>
      </c>
      <c r="C81" s="6" t="inlineStr">
        <is>
          <t>no</t>
        </is>
      </c>
      <c r="D81" s="5">
        <f>IF(A81="","",MAX(E81,IF(ISNUMBER(I81),I81,0),IFERROR(IF(ISNUMBER(INDEX('iCoA Register'!$F:$F,MATCH(S81,'iCoA Register'!$P:$P,0))),INDEX('iCoA Register'!$F:$F,MATCH(S81,'iCoA Register'!$P:$P,0)),0),0)))</f>
        <v/>
      </c>
      <c r="E81" s="5">
        <f>IF(ISNUMBER(F81),MAX(DATE(2026,6,6),F81+7),DATE(2026,6,6))</f>
        <v/>
      </c>
      <c r="F81" s="5" t="inlineStr">
        <is>
          <t>—</t>
        </is>
      </c>
      <c r="G81" s="2" t="inlineStr">
        <is>
          <t>—</t>
        </is>
      </c>
      <c r="H81" s="2">
        <f>IFERROR(INDEX('iCoA Register'!$B:$B,MATCH("P060342|I",'iCoA Register'!$P:$P,0)),"—")</f>
        <v/>
      </c>
      <c r="I81" s="5">
        <f>IFERROR(INDEX('iCoA Register'!$D:$D,MATCH("P060342|I",'iCoA Register'!$P:$P,0)),"")</f>
        <v/>
      </c>
      <c r="J81" s="2" t="inlineStr">
        <is>
          <t>post-SOP</t>
        </is>
      </c>
      <c r="K81" s="2" t="inlineStr">
        <is>
          <t>initial release</t>
        </is>
      </c>
      <c r="L81" s="3" t="inlineStr">
        <is>
          <t>SCR012601*</t>
        </is>
      </c>
      <c r="M81" s="2" t="inlineStr">
        <is>
          <t>P060342</t>
        </is>
      </c>
      <c r="N81" s="2" t="inlineStr">
        <is>
          <t>Scrambler</t>
        </is>
      </c>
      <c r="O81" s="6" t="inlineStr">
        <is>
          <t>— no cannabinoid certificate from the initial testing —</t>
        </is>
      </c>
      <c r="P81" s="6" t="inlineStr">
        <is>
          <t>—</t>
        </is>
      </c>
      <c r="Q81" s="2" t="inlineStr">
        <is>
          <t>—</t>
        </is>
      </c>
      <c r="R81" s="2" t="inlineStr">
        <is>
          <t>— not in the issuance plan —</t>
        </is>
      </c>
      <c r="S81" s="2" t="inlineStr">
        <is>
          <t>P060342|I</t>
        </is>
      </c>
      <c r="T81" s="8" t="inlineStr">
        <is>
          <t>not yet issuable — its iCoA is not yet issuable</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Register'!$P:$P,0)),0),0)))</f>
        <v/>
      </c>
      <c r="E82" s="5">
        <f>IF(ISNUMBER(F82),MAX(DATE(2026,6,6),F82+7),DATE(2026,6,6))</f>
        <v/>
      </c>
      <c r="F82" s="5" t="n">
        <v>46209</v>
      </c>
      <c r="G82" s="2" t="inlineStr">
        <is>
          <t>ППК26117</t>
        </is>
      </c>
      <c r="H82" s="2">
        <f>IFERROR(INDEX('iCoA Register'!$B:$B,MATCH("P160012|I",'iCoA Register'!$P:$P,0)),"—")</f>
        <v/>
      </c>
      <c r="I82" s="5">
        <f>IFERROR(INDEX('iCoA Register'!$D:$D,MATCH("P160012|I",'iCoA Register'!$P:$P,0)),"")</f>
        <v/>
      </c>
      <c r="J82" s="2" t="inlineStr">
        <is>
          <t>—</t>
        </is>
      </c>
      <c r="K82" s="2" t="inlineStr">
        <is>
          <t>initial release</t>
        </is>
      </c>
      <c r="L82" s="3" t="inlineStr">
        <is>
          <t>— not recorded — (P160012)</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P160012|I</t>
        </is>
      </c>
      <c r="T82" s="8"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Register'!$P:$P,0)),0),0)))</f>
        <v/>
      </c>
      <c r="E83" s="5">
        <f>IF(ISNUMBER(F83),MAX(DATE(2026,6,6),F83+7),DATE(2026,6,6))</f>
        <v/>
      </c>
      <c r="F83" s="5" t="n">
        <v>46209</v>
      </c>
      <c r="G83" s="2" t="inlineStr">
        <is>
          <t>ППК26118</t>
        </is>
      </c>
      <c r="H83" s="2">
        <f>IFERROR(INDEX('iCoA Register'!$B:$B,MATCH("P160022|I",'iCoA Register'!$P:$P,0)),"—")</f>
        <v/>
      </c>
      <c r="I83" s="5">
        <f>IFERROR(INDEX('iCoA Register'!$D:$D,MATCH("P160022|I",'iCoA Register'!$P:$P,0)),"")</f>
        <v/>
      </c>
      <c r="J83" s="2" t="inlineStr">
        <is>
          <t>—</t>
        </is>
      </c>
      <c r="K83" s="2" t="inlineStr">
        <is>
          <t>initial release</t>
        </is>
      </c>
      <c r="L83" s="3" t="inlineStr">
        <is>
          <t>— not recorded — (P160022)</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P160022|I</t>
        </is>
      </c>
      <c r="T83" s="8"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Register'!$P:$P,0)),0),0)))</f>
        <v/>
      </c>
      <c r="E84" s="5">
        <f>IF(ISNUMBER(F84),MAX(DATE(2026,6,6),F84+7),DATE(2026,6,6))</f>
        <v/>
      </c>
      <c r="F84" s="5" t="n">
        <v>46209</v>
      </c>
      <c r="G84" s="2" t="inlineStr">
        <is>
          <t>ППК26119</t>
        </is>
      </c>
      <c r="H84" s="2">
        <f>IFERROR(INDEX('iCoA Register'!$B:$B,MATCH("P160032|I",'iCoA Register'!$P:$P,0)),"—")</f>
        <v/>
      </c>
      <c r="I84" s="5">
        <f>IFERROR(INDEX('iCoA Register'!$D:$D,MATCH("P160032|I",'iCoA Register'!$P:$P,0)),"")</f>
        <v/>
      </c>
      <c r="J84" s="2" t="inlineStr">
        <is>
          <t>—</t>
        </is>
      </c>
      <c r="K84" s="2" t="inlineStr">
        <is>
          <t>initial release</t>
        </is>
      </c>
      <c r="L84" s="3" t="inlineStr">
        <is>
          <t>— not recorded — (P160032)</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P160032|I</t>
        </is>
      </c>
      <c r="T84" s="8"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Register'!$P:$P,0)),0),0)))</f>
        <v/>
      </c>
      <c r="E85" s="5">
        <f>IF(ISNUMBER(F85),MAX(DATE(2026,6,6),F85+7),"at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8"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Register'!$P:$P,0)),0),0)))</f>
        <v/>
      </c>
      <c r="E86" s="5">
        <f>IF(ISNUMBER(F86),MAX(DATE(2026,6,6),F86+7),"at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8"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Register'!$P:$P,0)),0),0)))</f>
        <v/>
      </c>
      <c r="E87" s="5">
        <f>IF(ISNUMBER(F87),MAX(DATE(2026,6,6),F87+7),"at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8"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Register'!$P:$P,0)),0),0)))</f>
        <v/>
      </c>
      <c r="E88" s="5">
        <f>IF(ISNUMBER(F88),MAX(DATE(2026,6,6),F88+7),"at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8"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Register'!$P:$P,0)),0),0)))</f>
        <v/>
      </c>
      <c r="E89" s="5">
        <f>IF(ISNUMBER(F89),MAX(DATE(2026,6,6),F89+7),"at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8"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Register'!$P:$P,0)),0),0)))</f>
        <v/>
      </c>
      <c r="E90" s="5">
        <f>IF(ISNUMBER(F90),MAX(DATE(2026,6,6),F90+7),"at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8"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Register'!$P:$P,0)),0),0)))</f>
        <v/>
      </c>
      <c r="E91" s="5">
        <f>IF(ISNUMBER(F91),MAX(DATE(2026,6,6),F91+7),"at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8"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Register'!$P:$P,0)),0),0)))</f>
        <v/>
      </c>
      <c r="E92" s="5">
        <f>IF(ISNUMBER(F92),MAX(DATE(2026,6,6),F92+7),"at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8"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Register'!$P:$P,0)),0),0)))</f>
        <v/>
      </c>
      <c r="E93" s="5">
        <f>IF(ISNUMBER(F93),MAX(DATE(2026,6,6),F93+7),"at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8"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Register'!$P:$P,0)),0),0)))</f>
        <v/>
      </c>
      <c r="E94" s="5">
        <f>IF(ISNUMBER(F94),MAX(DATE(2026,6,6),F94+7),"at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8"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Register'!$P:$P,0)),0),0)))</f>
        <v/>
      </c>
      <c r="E95" s="5">
        <f>IF(ISNUMBER(F95),MAX(DATE(2026,6,6),F95+7),"at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8"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Register'!$P:$P,0)),0),0)))</f>
        <v/>
      </c>
      <c r="E96" s="5">
        <f>IF(ISNUMBER(F96),MAX(DATE(2026,6,6),F96+7),"at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8"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Register'!$P:$P,0)),0),0)))</f>
        <v/>
      </c>
      <c r="E97" s="5">
        <f>IF(ISNUMBER(F97),MAX(DATE(2026,6,6),F97+7),"at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8"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Register'!$P:$P,0)),0),0)))</f>
        <v/>
      </c>
      <c r="E98" s="5">
        <f>IF(ISNUMBER(F98),MAX(DATE(2026,6,6),F98+7),"at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8"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Register'!$P:$P,0)),0),0)))</f>
        <v/>
      </c>
      <c r="E99" s="5">
        <f>IF(ISNUMBER(F99),MAX(DATE(2026,6,6),F99+7),"at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8"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Register'!$P:$P,0)),0),0)))</f>
        <v/>
      </c>
      <c r="E100" s="5">
        <f>IF(ISNUMBER(F100),MAX(DATE(2026,6,6),F100+7),"at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8"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Register'!$P:$P,0)),0),0)))</f>
        <v/>
      </c>
      <c r="E101" s="5">
        <f>IF(ISNUMBER(F101),MAX(DATE(2026,6,6),F101+7),"at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8"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Register'!$P:$P,0)),0),0)))</f>
        <v/>
      </c>
      <c r="E102" s="5">
        <f>IF(ISNUMBER(F102),MAX(DATE(2026,6,6),F102+7),"at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8"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Register'!$P:$P,0)),0),0)))</f>
        <v/>
      </c>
      <c r="E103" s="5">
        <f>IF(ISNUMBER(F103),MAX(DATE(2026,6,6),F103+7),"at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8"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Register'!$P:$P,0)),0),0)))</f>
        <v/>
      </c>
      <c r="E104" s="5">
        <f>IF(ISNUMBER(F104),MAX(DATE(2026,6,6),F104+7),"at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8"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Register'!$P:$P,0)),0),0)))</f>
        <v/>
      </c>
      <c r="E105" s="5">
        <f>IF(ISNUMBER(F105),MAX(DATE(2026,6,6),F105+7),"at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8"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Register'!$P:$P,0)),0),0)))</f>
        <v/>
      </c>
      <c r="E106" s="5">
        <f>IF(ISNUMBER(F106),MAX(DATE(2026,6,6),F106+7),"at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8"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Register'!$P:$P,0)),0),0)))</f>
        <v/>
      </c>
      <c r="E107" s="5">
        <f>IF(ISNUMBER(F107),MAX(DATE(2026,6,6),F107+7),"at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8"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Register'!$P:$P,0)),0),0)))</f>
        <v/>
      </c>
      <c r="E108" s="5">
        <f>IF(ISNUMBER(F108),MAX(DATE(2026,6,6),F108+7),"at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8"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Register'!$P:$P,0)),0),0)))</f>
        <v/>
      </c>
      <c r="E109" s="5">
        <f>IF(ISNUMBER(F109),MAX(DATE(2026,6,6),F109+7),"at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8"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Register'!$P:$P,0)),0),0)))</f>
        <v/>
      </c>
      <c r="E110" s="5">
        <f>IF(ISNUMBER(F110),MAX(DATE(2026,6,6),F110+7),"at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8"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Register'!$P:$P,0)),0),0)))</f>
        <v/>
      </c>
      <c r="E111" s="5">
        <f>IF(ISNUMBER(F111),MAX(DATE(2026,6,6),F111+7),"at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8"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Register'!$P:$P,0)),0),0)))</f>
        <v/>
      </c>
      <c r="E112" s="5">
        <f>IF(ISNUMBER(F112),MAX(DATE(2026,6,6),F112+7),"at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8"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Register'!$P:$P,0)),0),0)))</f>
        <v/>
      </c>
      <c r="E113" s="5">
        <f>IF(ISNUMBER(F113),MAX(DATE(2026,6,6),F113+7),"at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8"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Register'!$P:$P,0)),0),0)))</f>
        <v/>
      </c>
      <c r="E114" s="5">
        <f>IF(ISNUMBER(F114),MAX(DATE(2026,6,6),F114+7),"at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8"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Register'!$P:$P,0)),0),0)))</f>
        <v/>
      </c>
      <c r="E115" s="5">
        <f>IF(ISNUMBER(F115),MAX(DATE(2026,6,6),F115+7),"at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8"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Register'!$P:$P,0)),0),0)))</f>
        <v/>
      </c>
      <c r="E116" s="5">
        <f>IF(ISNUMBER(F116),MAX(DATE(2026,6,6),F116+7),"at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8"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Register'!$P:$P,0)),0),0)))</f>
        <v/>
      </c>
      <c r="E117" s="5">
        <f>IF(ISNUMBER(F117),MAX(DATE(2026,6,6),F117+7),"at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8"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Register'!$P:$P,0)),0),0)))</f>
        <v/>
      </c>
      <c r="E118" s="5">
        <f>IF(ISNUMBER(F118),MAX(DATE(2026,6,6),F118+7),"at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8"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Register'!$P:$P,0)),0),0)))</f>
        <v/>
      </c>
      <c r="E119" s="5">
        <f>IF(ISNUMBER(F119),MAX(DATE(2026,6,6),F119+7),"at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8"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Register'!$P:$P,0)),0),0)))</f>
        <v/>
      </c>
      <c r="E120" s="5">
        <f>IF(ISNUMBER(F120),MAX(DATE(2026,6,6),F120+7),"at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8"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Register'!$P:$P,0)),0),0)))</f>
        <v/>
      </c>
      <c r="E121" s="5">
        <f>IF(ISNUMBER(F121),MAX(DATE(2026,6,6),F121+7),"at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8"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Register'!$P:$P,0)),0),0)))</f>
        <v/>
      </c>
      <c r="E122" s="5">
        <f>IF(ISNUMBER(F122),MAX(DATE(2026,6,6),F122+7),"at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8"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Register'!$P:$P,0)),0),0)))</f>
        <v/>
      </c>
      <c r="E123" s="5">
        <f>IF(ISNUMBER(F123),MAX(DATE(2026,6,6),F123+7),"at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8"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Register'!$P:$P,0)),0),0)))</f>
        <v/>
      </c>
      <c r="E124" s="5">
        <f>IF(ISNUMBER(F124),MAX(DATE(2026,6,6),F124+7),"at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8"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Register'!$P:$P,0)),0),0)))</f>
        <v/>
      </c>
      <c r="E125" s="5">
        <f>IF(ISNUMBER(F125),MAX(DATE(2026,6,6),F125+7),"at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8"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Register'!$P:$P,0)),0),0)))</f>
        <v/>
      </c>
      <c r="E126" s="5">
        <f>IF(ISNUMBER(F126),MAX(DATE(2026,6,6),F126+7),"at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8"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Register'!$P:$P,0)),0),0)))</f>
        <v/>
      </c>
      <c r="E127" s="5">
        <f>IF(ISNUMBER(F127),MAX(DATE(2026,6,6),F127+7),"at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8"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Register'!$P:$P,0)),0),0)))</f>
        <v/>
      </c>
      <c r="E128" s="5">
        <f>IF(ISNUMBER(F128),MAX(DATE(2026,6,6),F128+7),"at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8"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Register'!$P:$P,0)),0),0)))</f>
        <v/>
      </c>
      <c r="E129" s="5">
        <f>IF(ISNUMBER(F129),MAX(DATE(2026,6,6),F129+7),"at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8"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Register'!$P:$P,0)),0),0)))</f>
        <v/>
      </c>
      <c r="E130" s="5">
        <f>IF(ISNUMBER(F130),MAX(DATE(2026,6,6),F130+7),"at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8"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Register'!$P:$P,0)),0),0)))</f>
        <v/>
      </c>
      <c r="E131" s="5">
        <f>IF(ISNUMBER(F131),MAX(DATE(2026,6,6),F131+7),"at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8"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Register'!$P:$P,0)),0),0)))</f>
        <v/>
      </c>
      <c r="E132" s="5">
        <f>IF(ISNUMBER(F132),MAX(DATE(2026,6,6),F132+7),"at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8"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Register'!$P:$P,0)),0),0)))</f>
        <v/>
      </c>
      <c r="E133" s="5">
        <f>IF(ISNUMBER(F133),MAX(DATE(2026,6,6),F133+7),"at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8"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Register'!$P:$P,0)),0),0)))</f>
        <v/>
      </c>
      <c r="E134" s="5">
        <f>IF(ISNUMBER(F134),MAX(DATE(2026,6,6),F134+7),"at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8"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Register'!$P:$P,0)),0),0)))</f>
        <v/>
      </c>
      <c r="E135" s="5">
        <f>IF(ISNUMBER(F135),MAX(DATE(2026,6,6),F135+7),"at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t>
        </is>
      </c>
      <c r="K135" s="2" t="inlineStr">
        <is>
          <t>retest — not yet sampled</t>
        </is>
      </c>
      <c r="L135" s="3" t="inlineStr">
        <is>
          <t>JD112501＊</t>
        </is>
      </c>
      <c r="M135" s="2" t="inlineStr">
        <is>
          <t>N/A — no P batch assigned</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8"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Register'!$P:$P,0)),0),0)))</f>
        <v/>
      </c>
      <c r="E136" s="5">
        <f>IF(ISNUMBER(F136),MAX(DATE(2026,6,6),F136+7),"at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8"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Register'!$P:$P,0)),0),0)))</f>
        <v/>
      </c>
      <c r="E137" s="5">
        <f>IF(ISNUMBER(F137),MAX(DATE(2026,6,6),F137+7),"at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8"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Register'!$P:$P,0)),0),0)))</f>
        <v/>
      </c>
      <c r="E138" s="5">
        <f>IF(ISNUMBER(F138),MAX(DATE(2026,6,6),F138+7),"at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8"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Register'!$P:$P,0)),0),0)))</f>
        <v/>
      </c>
      <c r="E139" s="5">
        <f>IF(ISNUMBER(F139),MAX(DATE(2026,6,6),F139+7),"at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8"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Register'!$P:$P,0)),0),0)))</f>
        <v/>
      </c>
      <c r="E140" s="5">
        <f>IF(ISNUMBER(F140),MAX(DATE(2026,6,6),F140+7),"at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8"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Register'!$P:$P,0)),0),0)))</f>
        <v/>
      </c>
      <c r="E141" s="5">
        <f>IF(ISNUMBER(F141),MAX(DATE(2026,6,6),F141+7),"at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8"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Register'!$P:$P,0)),0),0)))</f>
        <v/>
      </c>
      <c r="E142" s="5">
        <f>IF(ISNUMBER(F142),MAX(DATE(2026,6,6),F142+7),"at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8"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Register'!$P:$P,0)),0),0)))</f>
        <v/>
      </c>
      <c r="E143" s="5">
        <f>IF(ISNUMBER(F143),MAX(DATE(2026,6,6),F143+7),"at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8"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Register'!$P:$P,0)),0),0)))</f>
        <v/>
      </c>
      <c r="E144" s="5">
        <f>IF(ISNUMBER(F144),MAX(DATE(2026,6,6),F144+7),"at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8"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Register'!$P:$P,0)),0),0)))</f>
        <v/>
      </c>
      <c r="E145" s="5">
        <f>IF(ISNUMBER(F145),MAX(DATE(2026,6,6),F145+7),"at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8"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Register'!$P:$P,0)),0),0)))</f>
        <v/>
      </c>
      <c r="E146" s="5">
        <f>IF(ISNUMBER(F146),MAX(DATE(2026,6,6),F146+7),"at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8"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Register'!$P:$P,0)),0),0)))</f>
        <v/>
      </c>
      <c r="E147" s="5">
        <f>IF(ISNUMBER(F147),MAX(DATE(2026,6,6),F147+7),"at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8"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Register'!$P:$P,0)),0),0)))</f>
        <v/>
      </c>
      <c r="E148" s="5">
        <f>IF(ISNUMBER(F148),MAX(DATE(2026,6,6),F148+7),"at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8"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Register'!$P:$P,0)),0),0)))</f>
        <v/>
      </c>
      <c r="E149" s="5">
        <f>IF(ISNUMBER(F149),MAX(DATE(2026,6,6),F149+7),"at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8"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Register'!$P:$P,0)),0),0)))</f>
        <v/>
      </c>
      <c r="E150" s="5">
        <f>IF(ISNUMBER(F150),MAX(DATE(2026,6,6),F150+7),"at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8"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Register'!$P:$P,0)),0),0)))</f>
        <v/>
      </c>
      <c r="E151" s="5">
        <f>IF(ISNUMBER(F151),MAX(DATE(2026,6,6),F151+7),"at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8"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Register'!$P:$P,0)),0),0)))</f>
        <v/>
      </c>
      <c r="E152" s="5">
        <f>IF(ISNUMBER(F152),MAX(DATE(2026,6,6),F152+7),"at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8"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Register'!$P:$P,0)),0),0)))</f>
        <v/>
      </c>
      <c r="E153" s="5">
        <f>IF(ISNUMBER(F153),MAX(DATE(2026,6,6),F153+7),"at retest sampling")</f>
        <v/>
      </c>
      <c r="F153" s="5" t="n">
        <v>46265</v>
      </c>
      <c r="G153" s="2" t="inlineStr">
        <is>
          <t>537-1068-26</t>
        </is>
      </c>
      <c r="H153" s="2">
        <f>IFERROR(INDEX('iCoA Register'!$B:$B,MATCH("P060432|R",'iCoA Register'!$P:$P,0)),"—")</f>
        <v/>
      </c>
      <c r="I153" s="5">
        <f>IFERROR(INDEX('iCoA Register'!$D:$D,MATCH("P060432|R",'iCoA Register'!$P:$P,0)),"")</f>
        <v/>
      </c>
      <c r="J153" s="2" t="inlineStr">
        <is>
          <t>post-SOP</t>
        </is>
      </c>
      <c r="K153" s="2" t="inlineStr">
        <is>
          <t>retest — sampled — Tranche 2/3 (potency and mycotoxins pending)</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8" t="inlineStr">
        <is>
          <t>not yet issuable — sampled — microbiology on file, retest assay pending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Register'!$P:$P,0)),0),0)))</f>
        <v/>
      </c>
      <c r="E154" s="5">
        <f>IF(ISNUMBER(F154),MAX(DATE(2026,6,6),F154+7),"at retest sampling")</f>
        <v/>
      </c>
      <c r="F154" s="5" t="n">
        <v>46265</v>
      </c>
      <c r="G154" s="2" t="inlineStr">
        <is>
          <t>538-1069-26</t>
        </is>
      </c>
      <c r="H154" s="2">
        <f>IFERROR(INDEX('iCoA Register'!$B:$B,MATCH("P060392|R",'iCoA Register'!$P:$P,0)),"—")</f>
        <v/>
      </c>
      <c r="I154" s="5">
        <f>IFERROR(INDEX('iCoA Register'!$D:$D,MATCH("P060392|R",'iCoA Register'!$P:$P,0)),"")</f>
        <v/>
      </c>
      <c r="J154" s="2" t="inlineStr">
        <is>
          <t>post-SOP</t>
        </is>
      </c>
      <c r="K154" s="2" t="inlineStr">
        <is>
          <t>retest — sampled — Tranche 2/3 (potency and mycotoxins pending)</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8" t="inlineStr">
        <is>
          <t>not yet issuable — sampled — microbiology on file, retest assay pending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Register'!$P:$P,0)),0),0)))</f>
        <v/>
      </c>
      <c r="E155" s="5">
        <f>IF(ISNUMBER(F155),MAX(DATE(2026,6,6),F155+7),"at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8"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Register'!$P:$P,0)),0),0)))</f>
        <v/>
      </c>
      <c r="E156" s="5">
        <f>IF(ISNUMBER(F156),MAX(DATE(2026,6,6),F156+7),"at retest sampling")</f>
        <v/>
      </c>
      <c r="F156" s="5" t="n">
        <v>46265</v>
      </c>
      <c r="G156" s="2" t="inlineStr">
        <is>
          <t>536-1067-26</t>
        </is>
      </c>
      <c r="H156" s="2">
        <f>IFERROR(INDEX('iCoA Register'!$B:$B,MATCH("P060442|R",'iCoA Register'!$P:$P,0)),"—")</f>
        <v/>
      </c>
      <c r="I156" s="5">
        <f>IFERROR(INDEX('iCoA Register'!$D:$D,MATCH("P060442|R",'iCoA Register'!$P:$P,0)),"")</f>
        <v/>
      </c>
      <c r="J156" s="2" t="inlineStr">
        <is>
          <t>post-SOP</t>
        </is>
      </c>
      <c r="K156" s="2" t="inlineStr">
        <is>
          <t>retest — sampled — Tranche 2/3 (potency and mycotoxins pending)</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8" t="inlineStr">
        <is>
          <t>not yet issuable — sampled — microbiology on file, retest assay pending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Register'!$P:$P,0)),0),0)))</f>
        <v/>
      </c>
      <c r="E157" s="5">
        <f>IF(ISNUMBER(F157),MAX(DATE(2026,6,6),F157+7),"at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8"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Register'!$P:$P,0)),0),0)))</f>
        <v/>
      </c>
      <c r="E158" s="5">
        <f>IF(ISNUMBER(F158),MAX(DATE(2026,6,6),F158+7),"at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8"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9"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9"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9"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9"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9"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9"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9"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9"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9"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9"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9"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9"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9"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9"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9"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BSS1024_01/2</t>
        </is>
      </c>
      <c r="J17" s="9"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9"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9"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9"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9"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9"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9"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9"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9"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9"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9"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9"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9"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9"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9"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9"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9"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9"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9"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9"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9"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9"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9"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9"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9"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9"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9"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9"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9"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9"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9"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9"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9"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9"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9"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9"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9"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9"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9"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9"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9"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9"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9"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9"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9"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9"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9"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9"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9"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9"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9"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9"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9"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9"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9"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9"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9"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9"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9"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9"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9"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9"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9"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9"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9"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9"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9"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9"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9"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9"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9"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9"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v25 on 05.09.2026</t>
        </is>
      </c>
    </row>
    <row r="2" ht="150" customHeight="1">
      <c r="A2" s="13"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which no sheet holds, so the series' dates are written as literals rather than guessed by a formula. CoQ (register) is looked up on the CoQ Register by Key — the iCoA Issuance sheet and the tracker's in-house cells cite this register by Key, so they follow it.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#9 — only the retest 539-1070-26 of 31.08.2026; the post-SOP CoQ cannot cite it (Head of QC to rule: report as not tested at initial testing, or wait for the reissue)</t>
        </is>
      </c>
    </row>
    <row r="4">
      <c r="A4" s="13" t="inlineStr">
        <is>
          <t>Source: CoQ_Analysis_Master_v25.xlsx,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2026-09-11T14:08:14Z</dcterms:created>
  <dcterms:modified xsi:type="dcterms:W3CDTF">2026-09-11T14:08:14Z</dcterms:modified>
</cp:coreProperties>
</file>