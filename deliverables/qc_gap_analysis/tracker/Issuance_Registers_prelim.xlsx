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HighProAmnesia</t>
        </is>
      </c>
      <c r="L5" s="2" t="inlineStr">
        <is>
          <t>Ident A + Ident B + Foreign matter</t>
        </is>
      </c>
      <c r="M5" s="6" t="inlineStr">
        <is>
          <t>—</t>
        </is>
      </c>
      <c r="N5" s="2">
        <f>IFERROR(INDEX('CoQ Register'!$B:$B,MATCH("HPA1024|I",'CoQ Register'!$S:$S,0)),"—")</f>
        <v/>
      </c>
      <c r="O5" s="2" t="inlineStr">
        <is>
          <t>iCoA-PP-2025-0004</t>
        </is>
      </c>
      <c r="P5" s="2" t="inlineStr">
        <is>
          <t>HPA1024|I</t>
        </is>
      </c>
      <c r="Q5" s="7" t="inlineStr">
        <is>
          <t>registered — issued with the legacy series on 15.05.2026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OrangePunchMimosa</t>
        </is>
      </c>
      <c r="L6" s="2" t="inlineStr">
        <is>
          <t>Ident A + Ident B + Foreign matter</t>
        </is>
      </c>
      <c r="M6" s="6" t="inlineStr">
        <is>
          <t>—</t>
        </is>
      </c>
      <c r="N6" s="2">
        <f>IFERROR(INDEX('CoQ Register'!$B:$B,MATCH("OPM1024|I",'CoQ Register'!$S:$S,0)),"—")</f>
        <v/>
      </c>
      <c r="O6" s="2" t="inlineStr">
        <is>
          <t>iCoA-PP-2025-0005</t>
        </is>
      </c>
      <c r="P6" s="2" t="inlineStr">
        <is>
          <t>OPM1024|I</t>
        </is>
      </c>
      <c r="Q6" s="7" t="inlineStr">
        <is>
          <t>registered — issued with the legacy series on 15.05.2026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P050022|I</t>
        </is>
      </c>
      <c r="Q7" s="7" t="inlineStr">
        <is>
          <t>registered — issued with the legacy series on 15.05.2026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P050012|I</t>
        </is>
      </c>
      <c r="Q8" s="7" t="inlineStr">
        <is>
          <t>registered — issued with the legacy series on 15.05.2026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P050032|I</t>
        </is>
      </c>
      <c r="Q9" s="7" t="inlineStr">
        <is>
          <t>registered — issued with the legacy series on 15.05.2026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P050052|I</t>
        </is>
      </c>
      <c r="Q10" s="7" t="inlineStr">
        <is>
          <t>registered — issued with the legacy series on 15.05.2026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P050062|I</t>
        </is>
      </c>
      <c r="Q11" s="7" t="inlineStr">
        <is>
          <t>registered — issued with the legacy series on 15.05.2026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P050072|I</t>
        </is>
      </c>
      <c r="Q12" s="7" t="inlineStr">
        <is>
          <t>registered — issued with the legacy series on 15.05.2026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P050082|I</t>
        </is>
      </c>
      <c r="Q13" s="7" t="inlineStr">
        <is>
          <t>registered — issued with the legacy series on 15.05.2026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P050092|I</t>
        </is>
      </c>
      <c r="Q14" s="7" t="inlineStr">
        <is>
          <t>registered — issued with the legacy series on 15.05.2026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P050102|I</t>
        </is>
      </c>
      <c r="Q15" s="7" t="inlineStr">
        <is>
          <t>registered — issued with the legacy series on 15.05.2026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P050112|I</t>
        </is>
      </c>
      <c r="Q16" s="7" t="inlineStr">
        <is>
          <t>registered — issued with the legacy series on 15.05.2026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P050132|I</t>
        </is>
      </c>
      <c r="Q17" s="7" t="inlineStr">
        <is>
          <t>registered — issued with the legacy series on 15.05.2026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P050152|I</t>
        </is>
      </c>
      <c r="Q18" s="7" t="inlineStr">
        <is>
          <t>registered — issued with the legacy series on 15.05.2026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Cup Junky</t>
        </is>
      </c>
      <c r="L19" s="2" t="inlineStr">
        <is>
          <t>Ident A + Ident B + Foreign matter</t>
        </is>
      </c>
      <c r="M19" s="6" t="inlineStr">
        <is>
          <t>—</t>
        </is>
      </c>
      <c r="N19" s="2">
        <f>IFERROR(INDEX('CoQ Register'!$B:$B,MATCH("P050162|I",'CoQ Register'!$S:$S,0)),"—")</f>
        <v/>
      </c>
      <c r="O19" s="2" t="inlineStr">
        <is>
          <t>iCoA-PP-2025-0015</t>
        </is>
      </c>
      <c r="P19" s="2" t="inlineStr">
        <is>
          <t>P050162|I</t>
        </is>
      </c>
      <c r="Q19" s="7" t="inlineStr">
        <is>
          <t>registered — issued with the legacy series on 15.05.2026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Cap Junky</t>
        </is>
      </c>
      <c r="L20" s="2" t="inlineStr">
        <is>
          <t>Ident A + Ident B + Foreign matter</t>
        </is>
      </c>
      <c r="M20" s="6" t="inlineStr">
        <is>
          <t>—</t>
        </is>
      </c>
      <c r="N20" s="2">
        <f>IFERROR(INDEX('CoQ Register'!$B:$B,MATCH("P050172|I",'CoQ Register'!$S:$S,0)),"—")</f>
        <v/>
      </c>
      <c r="O20" s="6" t="inlineStr">
        <is>
          <t>—</t>
        </is>
      </c>
      <c r="P20" s="2" t="inlineStr">
        <is>
          <t>P050172|I</t>
        </is>
      </c>
      <c r="Q20" s="7" t="inlineStr">
        <is>
          <t>registered — issued with the legacy series on 15.05.2026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P050182|I</t>
        </is>
      </c>
      <c r="Q21" s="7" t="inlineStr">
        <is>
          <t>registered — issued with the legacy series on 15.05.2026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Sleepy Joe</t>
        </is>
      </c>
      <c r="L22" s="2" t="inlineStr">
        <is>
          <t>Ident A + Ident B + Foreign matter</t>
        </is>
      </c>
      <c r="M22" s="6" t="inlineStr">
        <is>
          <t>—</t>
        </is>
      </c>
      <c r="N22" s="2">
        <f>IFERROR(INDEX('CoQ Register'!$B:$B,MATCH("P050192|I",'CoQ Register'!$S:$S,0)),"—")</f>
        <v/>
      </c>
      <c r="O22" s="2" t="inlineStr">
        <is>
          <t>iCoA-PP-2025-0017</t>
        </is>
      </c>
      <c r="P22" s="2" t="inlineStr">
        <is>
          <t>P050192|I</t>
        </is>
      </c>
      <c r="Q22" s="7" t="inlineStr">
        <is>
          <t>registered — issued with the legacy series on 15.05.2026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Foreign matter</t>
        </is>
      </c>
      <c r="M23" s="6" t="inlineStr">
        <is>
          <t>—</t>
        </is>
      </c>
      <c r="N23" s="2">
        <f>IFERROR(INDEX('CoQ Register'!$B:$B,MATCH("P050202|I",'CoQ Register'!$S:$S,0)),"—")</f>
        <v/>
      </c>
      <c r="O23" s="6" t="inlineStr">
        <is>
          <t>—</t>
        </is>
      </c>
      <c r="P23" s="2" t="inlineStr">
        <is>
          <t>P050202|I</t>
        </is>
      </c>
      <c r="Q23" s="7" t="inlineStr">
        <is>
          <t>registered — issued with the legacy series on 15.05.2026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Junkie</t>
        </is>
      </c>
      <c r="L24" s="2" t="inlineStr">
        <is>
          <t>Ident A + Ident B + Foreign matter</t>
        </is>
      </c>
      <c r="M24" s="6" t="inlineStr">
        <is>
          <t>—</t>
        </is>
      </c>
      <c r="N24" s="2">
        <f>IFERROR(INDEX('CoQ Register'!$B:$B,MATCH("P050212|I",'CoQ Register'!$S:$S,0)),"—")</f>
        <v/>
      </c>
      <c r="O24" s="6" t="inlineStr">
        <is>
          <t>—</t>
        </is>
      </c>
      <c r="P24" s="2" t="inlineStr">
        <is>
          <t>P050212|I</t>
        </is>
      </c>
      <c r="Q24" s="7" t="inlineStr">
        <is>
          <t>registered — issued with the legacy series on 15.05.2026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Junkie</t>
        </is>
      </c>
      <c r="L25" s="2" t="inlineStr">
        <is>
          <t>Ident A + Ident B + Foreign matter</t>
        </is>
      </c>
      <c r="M25" s="6" t="inlineStr">
        <is>
          <t>—</t>
        </is>
      </c>
      <c r="N25" s="2">
        <f>IFERROR(INDEX('CoQ Register'!$B:$B,MATCH("P050222|I",'CoQ Register'!$S:$S,0)),"—")</f>
        <v/>
      </c>
      <c r="O25" s="2" t="inlineStr">
        <is>
          <t>iCoA-PP-2025-0018</t>
        </is>
      </c>
      <c r="P25" s="2" t="inlineStr">
        <is>
          <t>P050222|I</t>
        </is>
      </c>
      <c r="Q25" s="7" t="inlineStr">
        <is>
          <t>registered — issued with the legacy series on 15.05.2026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Cap Junky</t>
        </is>
      </c>
      <c r="L26" s="2" t="inlineStr">
        <is>
          <t>Ident A + Ident B + Foreign matter</t>
        </is>
      </c>
      <c r="M26" s="6" t="inlineStr">
        <is>
          <t>—</t>
        </is>
      </c>
      <c r="N26" s="2">
        <f>IFERROR(INDEX('CoQ Register'!$B:$B,MATCH("P050252|I",'CoQ Register'!$S:$S,0)),"—")</f>
        <v/>
      </c>
      <c r="O26" s="6" t="inlineStr">
        <is>
          <t>—</t>
        </is>
      </c>
      <c r="P26" s="2" t="inlineStr">
        <is>
          <t>P050252|I</t>
        </is>
      </c>
      <c r="Q26" s="7" t="inlineStr">
        <is>
          <t>registered — issued with the legacy series on 15.05.2026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Crusher</t>
        </is>
      </c>
      <c r="L27" s="2" t="inlineStr">
        <is>
          <t>Ident A + Ident B + Foreign matter</t>
        </is>
      </c>
      <c r="M27" s="6" t="inlineStr">
        <is>
          <t>—</t>
        </is>
      </c>
      <c r="N27" s="2">
        <f>IFERROR(INDEX('CoQ Register'!$B:$B,MATCH("P050262|I",'CoQ Register'!$S:$S,0)),"—")</f>
        <v/>
      </c>
      <c r="O27" s="6" t="inlineStr">
        <is>
          <t>—</t>
        </is>
      </c>
      <c r="P27" s="2" t="inlineStr">
        <is>
          <t>P050262|I</t>
        </is>
      </c>
      <c r="Q27" s="7" t="inlineStr">
        <is>
          <t>registered — issued with the legacy series on 15.05.2026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Marker</t>
        </is>
      </c>
      <c r="L28" s="2" t="inlineStr">
        <is>
          <t>Ident A + Ident B + Foreign matter</t>
        </is>
      </c>
      <c r="M28" s="6" t="inlineStr">
        <is>
          <t>—</t>
        </is>
      </c>
      <c r="N28" s="2">
        <f>IFERROR(INDEX('CoQ Register'!$B:$B,MATCH("P050272|I",'CoQ Register'!$S:$S,0)),"—")</f>
        <v/>
      </c>
      <c r="O28" s="6" t="inlineStr">
        <is>
          <t>—</t>
        </is>
      </c>
      <c r="P28" s="2" t="inlineStr">
        <is>
          <t>P050272|I</t>
        </is>
      </c>
      <c r="Q28" s="7" t="inlineStr">
        <is>
          <t>registered — issued with the legacy series on 15.05.2026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P050282|I</t>
        </is>
      </c>
      <c r="Q29" s="7" t="inlineStr">
        <is>
          <t>registered — issued with the legacy series on 15.05.2026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P050292|I</t>
        </is>
      </c>
      <c r="Q30" s="7" t="inlineStr">
        <is>
          <t>registered — issued with the legacy series on 15.05.2026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P050302|I</t>
        </is>
      </c>
      <c r="Q31" s="7" t="inlineStr">
        <is>
          <t>registered — issued with the legacy series on 15.05.2026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P050312|I</t>
        </is>
      </c>
      <c r="Q32" s="7" t="inlineStr">
        <is>
          <t>registered — issued with the legacy series on 15.05.2026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P050322|I</t>
        </is>
      </c>
      <c r="Q33" s="7" t="inlineStr">
        <is>
          <t>registered — issued with the legacy series on 15.05.2026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P060012|I</t>
        </is>
      </c>
      <c r="Q34" s="7" t="inlineStr">
        <is>
          <t>registered — issued with the legacy series on 15.05.2026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P060022|I</t>
        </is>
      </c>
      <c r="Q35" s="7" t="inlineStr">
        <is>
          <t>registered — issued with the legacy series on 15.05.2026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P060032|I</t>
        </is>
      </c>
      <c r="Q36" s="7" t="inlineStr">
        <is>
          <t>registered — issued with the legacy series on 15.05.2026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P060042|I</t>
        </is>
      </c>
      <c r="Q37" s="7" t="inlineStr">
        <is>
          <t>registered — issued with the legacy series on 15.05.2026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P060052|I</t>
        </is>
      </c>
      <c r="Q38" s="7" t="inlineStr">
        <is>
          <t>registered — issued with the legacy series on 15.05.2026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P060062|I</t>
        </is>
      </c>
      <c r="Q39" s="7" t="inlineStr">
        <is>
          <t>registered — issued with the legacy series on 15.05.2026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P060072|I</t>
        </is>
      </c>
      <c r="Q40" s="7" t="inlineStr">
        <is>
          <t>registered — issued with the legacy series on 15.05.2026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c r="L41" s="2" t="inlineStr">
        <is>
          <t>Ident A + Ident B + Foreign matter</t>
        </is>
      </c>
      <c r="M41" s="6" t="inlineStr">
        <is>
          <t>—</t>
        </is>
      </c>
      <c r="N41" s="2">
        <f>IFERROR(INDEX('CoQ Register'!$B:$B,MATCH("P060082|I",'CoQ Register'!$S:$S,0)),"—")</f>
        <v/>
      </c>
      <c r="O41" s="2" t="inlineStr">
        <is>
          <t>iCoA-PP-2026-0007</t>
        </is>
      </c>
      <c r="P41" s="2" t="inlineStr">
        <is>
          <t>P060082|I</t>
        </is>
      </c>
      <c r="Q41" s="7" t="inlineStr">
        <is>
          <t>registered — issued with the legacy series on 15.05.2026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P060092|I</t>
        </is>
      </c>
      <c r="Q42" s="7" t="inlineStr">
        <is>
          <t>registered — issued with the legacy series on 15.05.2026</t>
        </is>
      </c>
    </row>
    <row r="43">
      <c r="A43" s="2" t="n">
        <v>44</v>
      </c>
      <c r="B43" s="3" t="inlineStr">
        <is>
          <t>iCoA-PP_26-044</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J31102501</t>
        </is>
      </c>
      <c r="J43" s="2" t="inlineStr">
        <is>
          <t>P060152</t>
        </is>
      </c>
      <c r="K43" s="2" t="inlineStr">
        <is>
          <t>Jokerz 31</t>
        </is>
      </c>
      <c r="L43" s="2" t="inlineStr">
        <is>
          <t>Ident A + Ident B + Foreign matter</t>
        </is>
      </c>
      <c r="M43" s="6" t="inlineStr">
        <is>
          <t>—</t>
        </is>
      </c>
      <c r="N43" s="2">
        <f>IFERROR(INDEX('CoQ Register'!$B:$B,MATCH("P060152|I",'CoQ Register'!$S:$S,0)),"—")</f>
        <v/>
      </c>
      <c r="O43" s="2" t="inlineStr">
        <is>
          <t>iCoA-PP-2026-0012</t>
        </is>
      </c>
      <c r="P43" s="2" t="inlineStr">
        <is>
          <t>P060152|I</t>
        </is>
      </c>
      <c r="Q43" s="7" t="inlineStr">
        <is>
          <t>registered — issued with the legacy series on 15.05.2026</t>
        </is>
      </c>
    </row>
    <row r="44">
      <c r="A44" s="2" t="n">
        <v>45</v>
      </c>
      <c r="B44" s="3" t="inlineStr">
        <is>
          <t>iCoA-PP_26-045</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SJ102501</t>
        </is>
      </c>
      <c r="J44" s="2" t="inlineStr">
        <is>
          <t>P060162</t>
        </is>
      </c>
      <c r="K44" s="2" t="inlineStr">
        <is>
          <t>Sleepy Joe</t>
        </is>
      </c>
      <c r="L44" s="2" t="inlineStr">
        <is>
          <t>Ident A + Ident B + Foreign matter</t>
        </is>
      </c>
      <c r="M44" s="6" t="inlineStr">
        <is>
          <t>—</t>
        </is>
      </c>
      <c r="N44" s="2">
        <f>IFERROR(INDEX('CoQ Register'!$B:$B,MATCH("P060162|I",'CoQ Register'!$S:$S,0)),"—")</f>
        <v/>
      </c>
      <c r="O44" s="6" t="inlineStr">
        <is>
          <t>—</t>
        </is>
      </c>
      <c r="P44" s="2" t="inlineStr">
        <is>
          <t>P060162|I</t>
        </is>
      </c>
      <c r="Q44" s="7" t="inlineStr">
        <is>
          <t>registered — issued with the legacy series on 15.05.2026</t>
        </is>
      </c>
    </row>
    <row r="45">
      <c r="A45" s="2" t="n">
        <v>46</v>
      </c>
      <c r="B45" s="3" t="inlineStr">
        <is>
          <t>iCoA-PP_26-046</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KC102501</t>
        </is>
      </c>
      <c r="J45" s="2" t="inlineStr">
        <is>
          <t>P060172</t>
        </is>
      </c>
      <c r="K45" s="2" t="inlineStr">
        <is>
          <t>Kush Crasher</t>
        </is>
      </c>
      <c r="L45" s="2" t="inlineStr">
        <is>
          <t>Ident A + Ident B + Foreign matter</t>
        </is>
      </c>
      <c r="M45" s="6" t="inlineStr">
        <is>
          <t>—</t>
        </is>
      </c>
      <c r="N45" s="2">
        <f>IFERROR(INDEX('CoQ Register'!$B:$B,MATCH("P060172|I",'CoQ Register'!$S:$S,0)),"—")</f>
        <v/>
      </c>
      <c r="O45" s="2" t="inlineStr">
        <is>
          <t>iCoA-PP-2026-0013</t>
        </is>
      </c>
      <c r="P45" s="2" t="inlineStr">
        <is>
          <t>P060172|I</t>
        </is>
      </c>
      <c r="Q45" s="7" t="inlineStr">
        <is>
          <t>registered — issued with the legacy series on 15.05.2026</t>
        </is>
      </c>
    </row>
    <row r="46">
      <c r="A46" s="2" t="n">
        <v>47</v>
      </c>
      <c r="B46" s="3" t="inlineStr">
        <is>
          <t>iCoA-PP_26-047</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GRC102501</t>
        </is>
      </c>
      <c r="J46" s="2" t="inlineStr">
        <is>
          <t>P060182</t>
        </is>
      </c>
      <c r="K46" s="2" t="inlineStr">
        <is>
          <t>Graps &amp; Creme</t>
        </is>
      </c>
      <c r="L46" s="2" t="inlineStr">
        <is>
          <t>Ident A + Ident B + Foreign matter</t>
        </is>
      </c>
      <c r="M46" s="6" t="inlineStr">
        <is>
          <t>—</t>
        </is>
      </c>
      <c r="N46" s="2">
        <f>IFERROR(INDEX('CoQ Register'!$B:$B,MATCH("P060182|I",'CoQ Register'!$S:$S,0)),"—")</f>
        <v/>
      </c>
      <c r="O46" s="2" t="inlineStr">
        <is>
          <t>iCoA-PP-2026-0014</t>
        </is>
      </c>
      <c r="P46" s="2" t="inlineStr">
        <is>
          <t>P060182|I</t>
        </is>
      </c>
      <c r="Q46" s="7" t="inlineStr">
        <is>
          <t>registered — issued with the legacy series on 15.05.2026</t>
        </is>
      </c>
    </row>
    <row r="47">
      <c r="A47" s="2" t="n">
        <v>48</v>
      </c>
      <c r="B47" s="3" t="inlineStr">
        <is>
          <t>iCoA-PP_26-048</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SJ112501</t>
        </is>
      </c>
      <c r="J47" s="2" t="inlineStr">
        <is>
          <t>P060192</t>
        </is>
      </c>
      <c r="K47" s="2" t="inlineStr">
        <is>
          <t>Sleepy Joy</t>
        </is>
      </c>
      <c r="L47" s="2" t="inlineStr">
        <is>
          <t>Ident A + Ident B + Foreign matter</t>
        </is>
      </c>
      <c r="M47" s="6" t="inlineStr">
        <is>
          <t>—</t>
        </is>
      </c>
      <c r="N47" s="2">
        <f>IFERROR(INDEX('CoQ Register'!$B:$B,MATCH("P060192|I",'CoQ Register'!$S:$S,0)),"—")</f>
        <v/>
      </c>
      <c r="O47" s="6" t="inlineStr">
        <is>
          <t>—</t>
        </is>
      </c>
      <c r="P47" s="2" t="inlineStr">
        <is>
          <t>P060192|I</t>
        </is>
      </c>
      <c r="Q47" s="7" t="inlineStr">
        <is>
          <t>registered — issued with the legacy series on 15.05.2026</t>
        </is>
      </c>
    </row>
    <row r="48">
      <c r="A48" s="2" t="n">
        <v>50</v>
      </c>
      <c r="B48" s="3" t="inlineStr">
        <is>
          <t>iCoA-PP_26-050</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J31112501</t>
        </is>
      </c>
      <c r="J48" s="2" t="inlineStr">
        <is>
          <t>P060202</t>
        </is>
      </c>
      <c r="K48" s="2" t="inlineStr">
        <is>
          <t>Jokerz 31</t>
        </is>
      </c>
      <c r="L48" s="2" t="inlineStr">
        <is>
          <t>Ident A + Ident B + Foreign matter</t>
        </is>
      </c>
      <c r="M48" s="6" t="inlineStr">
        <is>
          <t>—</t>
        </is>
      </c>
      <c r="N48" s="2">
        <f>IFERROR(INDEX('CoQ Register'!$B:$B,MATCH("P060202|I",'CoQ Register'!$S:$S,0)),"—")</f>
        <v/>
      </c>
      <c r="O48" s="6" t="inlineStr">
        <is>
          <t>—</t>
        </is>
      </c>
      <c r="P48" s="2" t="inlineStr">
        <is>
          <t>P060202|I</t>
        </is>
      </c>
      <c r="Q48" s="7" t="inlineStr">
        <is>
          <t>registered — issued with the legacy series on 15.05.2026</t>
        </is>
      </c>
    </row>
    <row r="49">
      <c r="A49" s="2" t="n">
        <v>51</v>
      </c>
      <c r="B49" s="3" t="inlineStr">
        <is>
          <t>iCoA-PP_26-051</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JD112501</t>
        </is>
      </c>
      <c r="J49" s="2" t="inlineStr">
        <is>
          <t>P060212</t>
        </is>
      </c>
      <c r="K49" s="2" t="inlineStr">
        <is>
          <t>Jelly Donutz</t>
        </is>
      </c>
      <c r="L49" s="2" t="inlineStr">
        <is>
          <t>Ident A + Ident B + Foreign matter</t>
        </is>
      </c>
      <c r="M49" s="6" t="inlineStr">
        <is>
          <t>—</t>
        </is>
      </c>
      <c r="N49" s="2">
        <f>IFERROR(INDEX('CoQ Register'!$B:$B,MATCH("P060212|I",'CoQ Register'!$S:$S,0)),"—")</f>
        <v/>
      </c>
      <c r="O49" s="2" t="inlineStr">
        <is>
          <t>iCoA-PP-2026-0015</t>
        </is>
      </c>
      <c r="P49" s="2" t="inlineStr">
        <is>
          <t>P060212|I</t>
        </is>
      </c>
      <c r="Q49" s="7" t="inlineStr">
        <is>
          <t>registered — issued with the legacy series on 15.05.2026</t>
        </is>
      </c>
    </row>
    <row r="50">
      <c r="A50" s="2" t="n">
        <v>52</v>
      </c>
      <c r="B50" s="3" t="inlineStr">
        <is>
          <t>iCoA-PP_26-052</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OPM112501</t>
        </is>
      </c>
      <c r="J50" s="2" t="inlineStr">
        <is>
          <t>P060222</t>
        </is>
      </c>
      <c r="K50" s="2" t="inlineStr">
        <is>
          <t>Orange Punch Mimosa</t>
        </is>
      </c>
      <c r="L50" s="2" t="inlineStr">
        <is>
          <t>Ident A + Ident B + Foreign matter</t>
        </is>
      </c>
      <c r="M50" s="6" t="inlineStr">
        <is>
          <t>—</t>
        </is>
      </c>
      <c r="N50" s="2">
        <f>IFERROR(INDEX('CoQ Register'!$B:$B,MATCH("P060222|I",'CoQ Register'!$S:$S,0)),"—")</f>
        <v/>
      </c>
      <c r="O50" s="6" t="inlineStr">
        <is>
          <t>—</t>
        </is>
      </c>
      <c r="P50" s="2" t="inlineStr">
        <is>
          <t>P060222|I</t>
        </is>
      </c>
      <c r="Q50" s="7" t="inlineStr">
        <is>
          <t>registered — issued with the legacy series on 15.05.2026</t>
        </is>
      </c>
    </row>
    <row r="51">
      <c r="A51" s="2" t="n">
        <v>53</v>
      </c>
      <c r="B51" s="3" t="inlineStr">
        <is>
          <t>iCoA-PP_26-053</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PM112501</t>
        </is>
      </c>
      <c r="J51" s="2" t="inlineStr">
        <is>
          <t>P060232</t>
        </is>
      </c>
      <c r="K51" s="2" t="inlineStr">
        <is>
          <t>Permanent Market</t>
        </is>
      </c>
      <c r="L51" s="2" t="inlineStr">
        <is>
          <t>Ident A + Ident B + Foreign matter</t>
        </is>
      </c>
      <c r="M51" s="6" t="inlineStr">
        <is>
          <t>—</t>
        </is>
      </c>
      <c r="N51" s="2">
        <f>IFERROR(INDEX('CoQ Register'!$B:$B,MATCH("P060232|I",'CoQ Register'!$S:$S,0)),"—")</f>
        <v/>
      </c>
      <c r="O51" s="2" t="inlineStr">
        <is>
          <t>iCoA-PP-2026-0016</t>
        </is>
      </c>
      <c r="P51" s="2" t="inlineStr">
        <is>
          <t>P060232|I</t>
        </is>
      </c>
      <c r="Q51" s="7" t="inlineStr">
        <is>
          <t>registered — issued with the legacy series on 15.05.2026</t>
        </is>
      </c>
    </row>
    <row r="52">
      <c r="A52" s="2" t="n">
        <v>54</v>
      </c>
      <c r="B52" s="3" t="inlineStr">
        <is>
          <t>iCoA-PP_26-054</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OPM122501</t>
        </is>
      </c>
      <c r="J52" s="2" t="inlineStr">
        <is>
          <t>P060242</t>
        </is>
      </c>
      <c r="K52" s="2" t="inlineStr">
        <is>
          <t>Orange Punch Mimosa</t>
        </is>
      </c>
      <c r="L52" s="2" t="inlineStr">
        <is>
          <t>Ident A + Ident B + Foreign matter</t>
        </is>
      </c>
      <c r="M52" s="6" t="inlineStr">
        <is>
          <t>—</t>
        </is>
      </c>
      <c r="N52" s="2">
        <f>IFERROR(INDEX('CoQ Register'!$B:$B,MATCH("P060242|I",'CoQ Register'!$S:$S,0)),"—")</f>
        <v/>
      </c>
      <c r="O52" s="2" t="inlineStr">
        <is>
          <t>iCoA-PP-2026-0017</t>
        </is>
      </c>
      <c r="P52" s="2" t="inlineStr">
        <is>
          <t>P060242|I</t>
        </is>
      </c>
      <c r="Q52" s="7" t="inlineStr">
        <is>
          <t>registered — issued with the legacy series on 15.05.2026</t>
        </is>
      </c>
    </row>
    <row r="53">
      <c r="A53" s="2" t="n">
        <v>55</v>
      </c>
      <c r="B53" s="3" t="inlineStr">
        <is>
          <t>iCoA-PP_26-055</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GG112501</t>
        </is>
      </c>
      <c r="J53" s="2" t="inlineStr">
        <is>
          <t>P060252</t>
        </is>
      </c>
      <c r="K53" s="2" t="inlineStr">
        <is>
          <t>Gorilla Glue</t>
        </is>
      </c>
      <c r="L53" s="2" t="inlineStr">
        <is>
          <t>Ident A + Ident B + Foreign matter</t>
        </is>
      </c>
      <c r="M53" s="6" t="inlineStr">
        <is>
          <t>—</t>
        </is>
      </c>
      <c r="N53" s="2">
        <f>IFERROR(INDEX('CoQ Register'!$B:$B,MATCH("P060252|I",'CoQ Register'!$S:$S,0)),"—")</f>
        <v/>
      </c>
      <c r="O53" s="6" t="inlineStr">
        <is>
          <t>—</t>
        </is>
      </c>
      <c r="P53" s="2" t="inlineStr">
        <is>
          <t>P060252|I</t>
        </is>
      </c>
      <c r="Q53" s="7" t="inlineStr">
        <is>
          <t>registered — issued with the legacy series on 15.05.2026</t>
        </is>
      </c>
    </row>
    <row r="54">
      <c r="A54" s="2" t="n">
        <v>63</v>
      </c>
      <c r="B54" s="3" t="inlineStr">
        <is>
          <t>iCoA-PP_26-063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post-SOP</t>
        </is>
      </c>
      <c r="H54" s="2" t="inlineStr">
        <is>
          <t>initial release</t>
        </is>
      </c>
      <c r="I54" s="3" t="inlineStr">
        <is>
          <t>J31122501</t>
        </is>
      </c>
      <c r="J54" s="2" t="inlineStr">
        <is>
          <t>P060262</t>
        </is>
      </c>
      <c r="K54" s="2" t="inlineStr">
        <is>
          <t>Jokerz 31</t>
        </is>
      </c>
      <c r="L54" s="2" t="inlineStr">
        <is>
          <t>Ident A + Ident B + Foreign matter</t>
        </is>
      </c>
      <c r="M54" s="6" t="inlineStr">
        <is>
          <t>—</t>
        </is>
      </c>
      <c r="N54" s="2">
        <f>IFERROR(INDEX('CoQ Register'!$B:$B,MATCH("P060262|I",'CoQ Register'!$S:$S,0)),"—")</f>
        <v/>
      </c>
      <c r="O54" s="6" t="inlineStr">
        <is>
          <t>—</t>
        </is>
      </c>
      <c r="P54" s="2" t="inlineStr">
        <is>
          <t>P060262|I</t>
        </is>
      </c>
      <c r="Q54" s="7" t="inlineStr">
        <is>
          <t>registered — first working day 5 days after packaging</t>
        </is>
      </c>
    </row>
    <row r="55">
      <c r="A55" s="2" t="n">
        <v>64</v>
      </c>
      <c r="B55" s="3" t="inlineStr">
        <is>
          <t>iCoA-PP_26-064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post-SOP</t>
        </is>
      </c>
      <c r="H55" s="2" t="inlineStr">
        <is>
          <t>initial release</t>
        </is>
      </c>
      <c r="I55" s="3" t="inlineStr">
        <is>
          <t>CC112501</t>
        </is>
      </c>
      <c r="J55" s="2" t="inlineStr">
        <is>
          <t>P060272</t>
        </is>
      </c>
      <c r="K55" s="2" t="inlineStr">
        <is>
          <t>Cash Cow</t>
        </is>
      </c>
      <c r="L55" s="2" t="inlineStr">
        <is>
          <t>Ident A + Ident B + Foreign matter</t>
        </is>
      </c>
      <c r="M55" s="6" t="inlineStr">
        <is>
          <t>—</t>
        </is>
      </c>
      <c r="N55" s="2">
        <f>IFERROR(INDEX('CoQ Register'!$B:$B,MATCH("P060272|I",'CoQ Register'!$S:$S,0)),"—")</f>
        <v/>
      </c>
      <c r="O55" s="6" t="inlineStr">
        <is>
          <t>—</t>
        </is>
      </c>
      <c r="P55" s="2" t="inlineStr">
        <is>
          <t>P060272|I</t>
        </is>
      </c>
      <c r="Q55" s="7" t="inlineStr">
        <is>
          <t>registered — first working day 5 days after packaging</t>
        </is>
      </c>
    </row>
    <row r="56">
      <c r="A56" s="2" t="n">
        <v>65</v>
      </c>
      <c r="B56" s="3" t="inlineStr">
        <is>
          <t>iCoA-PP_26-065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post-SOP</t>
        </is>
      </c>
      <c r="H56" s="2" t="inlineStr">
        <is>
          <t>initial release</t>
        </is>
      </c>
      <c r="I56" s="3" t="inlineStr">
        <is>
          <t>SCR112501</t>
        </is>
      </c>
      <c r="J56" s="2" t="inlineStr">
        <is>
          <t>P060282</t>
        </is>
      </c>
      <c r="K56" s="2" t="inlineStr">
        <is>
          <t>Scrambler</t>
        </is>
      </c>
      <c r="L56" s="2" t="inlineStr">
        <is>
          <t>Ident A + Ident B + Foreign matter</t>
        </is>
      </c>
      <c r="M56" s="6" t="inlineStr">
        <is>
          <t>—</t>
        </is>
      </c>
      <c r="N56" s="2">
        <f>IFERROR(INDEX('CoQ Register'!$B:$B,MATCH("P060282|I",'CoQ Register'!$S:$S,0)),"—")</f>
        <v/>
      </c>
      <c r="O56" s="2" t="inlineStr">
        <is>
          <t>iCoA-PP-2026-0018</t>
        </is>
      </c>
      <c r="P56" s="2" t="inlineStr">
        <is>
          <t>P060282|I</t>
        </is>
      </c>
      <c r="Q56" s="7" t="inlineStr">
        <is>
          <t>registered — first working day 5 days after packaging</t>
        </is>
      </c>
    </row>
    <row r="57">
      <c r="A57" s="2" t="n">
        <v>66</v>
      </c>
      <c r="B57" s="3" t="inlineStr">
        <is>
          <t>iCoA-PP_26-066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post-SOP</t>
        </is>
      </c>
      <c r="H57" s="2" t="inlineStr">
        <is>
          <t>initial release</t>
        </is>
      </c>
      <c r="I57" s="3" t="inlineStr">
        <is>
          <t>FB112501</t>
        </is>
      </c>
      <c r="J57" s="2" t="inlineStr">
        <is>
          <t>P060292</t>
        </is>
      </c>
      <c r="K57" s="2" t="inlineStr">
        <is>
          <t>Fat Bastard</t>
        </is>
      </c>
      <c r="L57" s="2" t="inlineStr">
        <is>
          <t>Ident A + Ident B + Foreign matter</t>
        </is>
      </c>
      <c r="M57" s="6" t="inlineStr">
        <is>
          <t>—</t>
        </is>
      </c>
      <c r="N57" s="2">
        <f>IFERROR(INDEX('CoQ Register'!$B:$B,MATCH("P060292|I",'CoQ Register'!$S:$S,0)),"—")</f>
        <v/>
      </c>
      <c r="O57" s="6" t="inlineStr">
        <is>
          <t>—</t>
        </is>
      </c>
      <c r="P57" s="2" t="inlineStr">
        <is>
          <t>P060292|I</t>
        </is>
      </c>
      <c r="Q57" s="7" t="inlineStr">
        <is>
          <t>registered — first working day 5 days after packaging</t>
        </is>
      </c>
    </row>
    <row r="58">
      <c r="A58" s="2" t="n">
        <v>67</v>
      </c>
      <c r="B58" s="3" t="inlineStr">
        <is>
          <t>iCoA-PP_26-067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post-SOP</t>
        </is>
      </c>
      <c r="H58" s="2" t="inlineStr">
        <is>
          <t>initial release</t>
        </is>
      </c>
      <c r="I58" s="3" t="inlineStr">
        <is>
          <t>FB012601_1</t>
        </is>
      </c>
      <c r="J58" s="2" t="inlineStr">
        <is>
          <t>P060322</t>
        </is>
      </c>
      <c r="K58" s="2" t="inlineStr">
        <is>
          <t>Fat Bastard</t>
        </is>
      </c>
      <c r="L58" s="2" t="inlineStr">
        <is>
          <t>Ident A + Ident B + Foreign matter</t>
        </is>
      </c>
      <c r="M58" s="6" t="inlineStr">
        <is>
          <t>—</t>
        </is>
      </c>
      <c r="N58" s="2">
        <f>IFERROR(INDEX('CoQ Register'!$B:$B,MATCH("P060322|I",'CoQ Register'!$S:$S,0)),"—")</f>
        <v/>
      </c>
      <c r="O58" s="2" t="inlineStr">
        <is>
          <t>iCoA-PP-2026-0019</t>
        </is>
      </c>
      <c r="P58" s="2" t="inlineStr">
        <is>
          <t>P060322|I</t>
        </is>
      </c>
      <c r="Q58" s="7" t="inlineStr">
        <is>
          <t>registered — first working day 5 days after packaging</t>
        </is>
      </c>
    </row>
    <row r="59">
      <c r="A59" s="2" t="n">
        <v>68</v>
      </c>
      <c r="B59" s="3" t="inlineStr">
        <is>
          <t>iCoA-PP_26-068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post-SOP</t>
        </is>
      </c>
      <c r="H59" s="2" t="inlineStr">
        <is>
          <t>initial release</t>
        </is>
      </c>
      <c r="I59" s="3" t="inlineStr">
        <is>
          <t>CC012601/1</t>
        </is>
      </c>
      <c r="J59" s="2" t="inlineStr">
        <is>
          <t>P060332</t>
        </is>
      </c>
      <c r="K59" s="2" t="inlineStr"/>
      <c r="L59" s="2" t="inlineStr">
        <is>
          <t>Ident A + Ident B + Foreign matter</t>
        </is>
      </c>
      <c r="M59" s="6" t="inlineStr">
        <is>
          <t>—</t>
        </is>
      </c>
      <c r="N59" s="2">
        <f>IFERROR(INDEX('CoQ Register'!$B:$B,MATCH("P060332|I",'CoQ Register'!$S:$S,0)),"—")</f>
        <v/>
      </c>
      <c r="O59" s="6" t="inlineStr">
        <is>
          <t>—</t>
        </is>
      </c>
      <c r="P59" s="2" t="inlineStr">
        <is>
          <t>P060332|I</t>
        </is>
      </c>
      <c r="Q59" s="7" t="inlineStr">
        <is>
          <t>registered — first working day 5 days after packaging</t>
        </is>
      </c>
    </row>
    <row r="60">
      <c r="A60" s="2" t="n">
        <v>71</v>
      </c>
      <c r="B60" s="3" t="inlineStr">
        <is>
          <t>iCoA-PP_26-071</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FB012602*</t>
        </is>
      </c>
      <c r="J60" s="2" t="inlineStr">
        <is>
          <t>P060352</t>
        </is>
      </c>
      <c r="K60" s="2" t="inlineStr">
        <is>
          <t>Fat Bastard</t>
        </is>
      </c>
      <c r="L60" s="2" t="inlineStr">
        <is>
          <t>Ident A + Ident B + Foreign matter</t>
        </is>
      </c>
      <c r="M60" s="6" t="inlineStr">
        <is>
          <t>—</t>
        </is>
      </c>
      <c r="N60" s="2">
        <f>IFERROR(INDEX('CoQ Register'!$B:$B,MATCH("P060352|I",'CoQ Register'!$S:$S,0)),"—")</f>
        <v/>
      </c>
      <c r="O60" s="2" t="inlineStr">
        <is>
          <t>iCoA-PP-2026-0021</t>
        </is>
      </c>
      <c r="P60" s="2" t="inlineStr">
        <is>
          <t>P060352|I</t>
        </is>
      </c>
      <c r="Q60" s="7" t="inlineStr">
        <is>
          <t>registered — first working day 5 days after packaging</t>
        </is>
      </c>
    </row>
    <row r="61">
      <c r="A61" s="2" t="n">
        <v>74</v>
      </c>
      <c r="B61" s="3" t="inlineStr">
        <is>
          <t>iCoA-PP_26-074</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SCR012603</t>
        </is>
      </c>
      <c r="J61" s="2" t="inlineStr">
        <is>
          <t>P060382</t>
        </is>
      </c>
      <c r="K61" s="2" t="inlineStr">
        <is>
          <t>Scrambler</t>
        </is>
      </c>
      <c r="L61" s="2" t="inlineStr">
        <is>
          <t>Ident A + Ident B + Foreign matter</t>
        </is>
      </c>
      <c r="M61" s="6" t="inlineStr">
        <is>
          <t>—</t>
        </is>
      </c>
      <c r="N61" s="2">
        <f>IFERROR(INDEX('CoQ Register'!$B:$B,MATCH("P060382|I",'CoQ Register'!$S:$S,0)),"—")</f>
        <v/>
      </c>
      <c r="O61" s="2" t="inlineStr">
        <is>
          <t>iCoA-PP-2026-0026</t>
        </is>
      </c>
      <c r="P61" s="2" t="inlineStr">
        <is>
          <t>P060382|I</t>
        </is>
      </c>
      <c r="Q61" s="7" t="inlineStr">
        <is>
          <t>registered — first working day 5 days after packaging</t>
        </is>
      </c>
    </row>
    <row r="62">
      <c r="A62" s="2" t="inlineStr"/>
      <c r="B62" s="3" t="inlineStr">
        <is>
          <t>not needed</t>
        </is>
      </c>
      <c r="C62" s="2" t="inlineStr">
        <is>
          <t>n/a</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FB012603V</t>
        </is>
      </c>
      <c r="J62" s="2" t="inlineStr">
        <is>
          <t>P060392</t>
        </is>
      </c>
      <c r="K62" s="2" t="inlineStr">
        <is>
          <t>Fat Bastard</t>
        </is>
      </c>
      <c r="L62" s="2" t="inlineStr">
        <is>
          <t>— all three on the CNP certificate —</t>
        </is>
      </c>
      <c r="M62" s="2" t="inlineStr">
        <is>
          <t>A: ППК26110 / B: ППК26110 / FM: ППК26110</t>
        </is>
      </c>
      <c r="N62" s="2">
        <f>IFERROR(INDEX('CoQ Register'!$B:$B,MATCH("P060392|I",'CoQ Register'!$S:$S,0)),"—")</f>
        <v/>
      </c>
      <c r="O62" s="6" t="inlineStr">
        <is>
          <t>—</t>
        </is>
      </c>
      <c r="P62" s="2" t="inlineStr">
        <is>
          <t>P060392|I</t>
        </is>
      </c>
      <c r="Q62" s="8" t="inlineStr">
        <is>
          <t>not needed — CNP covers A, B and foreign matter</t>
        </is>
      </c>
    </row>
    <row r="63">
      <c r="A63" s="2" t="inlineStr"/>
      <c r="B63" s="3" t="inlineStr">
        <is>
          <t>not needed</t>
        </is>
      </c>
      <c r="C63" s="2" t="inlineStr">
        <is>
          <t>n/a</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JD012603</t>
        </is>
      </c>
      <c r="J63" s="2" t="inlineStr">
        <is>
          <t>P060362</t>
        </is>
      </c>
      <c r="K63" s="2" t="inlineStr"/>
      <c r="L63" s="2" t="inlineStr">
        <is>
          <t>— all three on the CNP certificate —</t>
        </is>
      </c>
      <c r="M63" s="2" t="inlineStr">
        <is>
          <t>A: ППК26111 / B: ППК26111 / FM: ППК26111</t>
        </is>
      </c>
      <c r="N63" s="2">
        <f>IFERROR(INDEX('CoQ Register'!$B:$B,MATCH("P060362|I",'CoQ Register'!$S:$S,0)),"—")</f>
        <v/>
      </c>
      <c r="O63" s="2" t="inlineStr">
        <is>
          <t>iCoA-PP-2026-0020</t>
        </is>
      </c>
      <c r="P63" s="2" t="inlineStr">
        <is>
          <t>P060362|I</t>
        </is>
      </c>
      <c r="Q63" s="8" t="inlineStr">
        <is>
          <t>not needed — CNP covers A, B and foreign matter</t>
        </is>
      </c>
    </row>
    <row r="64">
      <c r="A64" s="2" t="inlineStr"/>
      <c r="B64" s="3" t="inlineStr">
        <is>
          <t>not needed</t>
        </is>
      </c>
      <c r="C64" s="2" t="inlineStr">
        <is>
          <t>n/a</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JD012603</t>
        </is>
      </c>
      <c r="J64" s="2" t="inlineStr">
        <is>
          <t>P060422</t>
        </is>
      </c>
      <c r="K64" s="2" t="inlineStr"/>
      <c r="L64" s="2" t="inlineStr">
        <is>
          <t>— all three on the CNP certificate —</t>
        </is>
      </c>
      <c r="M64" s="2" t="inlineStr">
        <is>
          <t>A: ППК26111 / B: ППК26111 / FM: ППК26111</t>
        </is>
      </c>
      <c r="N64" s="2">
        <f>IFERROR(INDEX('CoQ Register'!$B:$B,MATCH("P060422|I",'CoQ Register'!$S:$S,0)),"—")</f>
        <v/>
      </c>
      <c r="O64" s="2" t="inlineStr">
        <is>
          <t>iCoA-PP-2026-0022</t>
        </is>
      </c>
      <c r="P64" s="2" t="inlineStr">
        <is>
          <t>P060422|I</t>
        </is>
      </c>
      <c r="Q64" s="8" t="inlineStr">
        <is>
          <t>not needed — CNP covers A, B and foreign matter</t>
        </is>
      </c>
    </row>
    <row r="65">
      <c r="A65" s="2" t="inlineStr"/>
      <c r="B65" s="3" t="inlineStr">
        <is>
          <t>not needed</t>
        </is>
      </c>
      <c r="C65" s="2" t="inlineStr">
        <is>
          <t>n/a</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GG012603</t>
        </is>
      </c>
      <c r="J65" s="2" t="inlineStr">
        <is>
          <t>P060402</t>
        </is>
      </c>
      <c r="K65" s="2" t="inlineStr">
        <is>
          <t>GorillaGlue</t>
        </is>
      </c>
      <c r="L65" s="2" t="inlineStr">
        <is>
          <t>— all three on the CNP certificate —</t>
        </is>
      </c>
      <c r="M65" s="2" t="inlineStr">
        <is>
          <t>A: ППК26114 / B: ППК26114 / FM: ППК26114</t>
        </is>
      </c>
      <c r="N65" s="2">
        <f>IFERROR(INDEX('CoQ Register'!$B:$B,MATCH("P060402|I",'CoQ Register'!$S:$S,0)),"—")</f>
        <v/>
      </c>
      <c r="O65" s="2" t="inlineStr">
        <is>
          <t>iCoA-PP-2026-0023</t>
        </is>
      </c>
      <c r="P65" s="2" t="inlineStr">
        <is>
          <t>P060402|I</t>
        </is>
      </c>
      <c r="Q65" s="8" t="inlineStr">
        <is>
          <t>not needed — CNP covers A, B and foreign matter</t>
        </is>
      </c>
    </row>
    <row r="66">
      <c r="A66" s="2" t="inlineStr"/>
      <c r="B66" s="3" t="inlineStr">
        <is>
          <t>not needed</t>
        </is>
      </c>
      <c r="C66" s="2" t="inlineStr">
        <is>
          <t>n/a</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JD012603</t>
        </is>
      </c>
      <c r="J66" s="2" t="inlineStr">
        <is>
          <t>P060412</t>
        </is>
      </c>
      <c r="K66" s="2" t="inlineStr"/>
      <c r="L66" s="2" t="inlineStr">
        <is>
          <t>— all three on the CNP certificate —</t>
        </is>
      </c>
      <c r="M66" s="2" t="inlineStr">
        <is>
          <t>A: ППК26111 / B: ППК26111 / FM: ППК26111</t>
        </is>
      </c>
      <c r="N66" s="2">
        <f>IFERROR(INDEX('CoQ Register'!$B:$B,MATCH("P060412|I",'CoQ Register'!$S:$S,0)),"—")</f>
        <v/>
      </c>
      <c r="O66" s="2" t="inlineStr">
        <is>
          <t>iCoA-PP-2026-0025</t>
        </is>
      </c>
      <c r="P66" s="2" t="inlineStr">
        <is>
          <t>P060412|I</t>
        </is>
      </c>
      <c r="Q66" s="8" t="inlineStr">
        <is>
          <t>not needed — CNP covers A, B and foreign matter</t>
        </is>
      </c>
    </row>
    <row r="67">
      <c r="A67" s="2" t="inlineStr"/>
      <c r="B67" s="3" t="inlineStr">
        <is>
          <t>not needed</t>
        </is>
      </c>
      <c r="C67" s="2" t="inlineStr">
        <is>
          <t>n/a</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FB012603</t>
        </is>
      </c>
      <c r="J67" s="2" t="inlineStr">
        <is>
          <t>P060432</t>
        </is>
      </c>
      <c r="K67" s="2" t="inlineStr">
        <is>
          <t>Fat Bastard</t>
        </is>
      </c>
      <c r="L67" s="2" t="inlineStr">
        <is>
          <t>— all three on the CNP certificate —</t>
        </is>
      </c>
      <c r="M67" s="2" t="inlineStr">
        <is>
          <t>A: ППК26112 / B: ППК26112 / FM: ППК26112</t>
        </is>
      </c>
      <c r="N67" s="2">
        <f>IFERROR(INDEX('CoQ Register'!$B:$B,MATCH("P060432|I",'CoQ Register'!$S:$S,0)),"—")</f>
        <v/>
      </c>
      <c r="O67" s="6" t="inlineStr">
        <is>
          <t>—</t>
        </is>
      </c>
      <c r="P67" s="2" t="inlineStr">
        <is>
          <t>P060432|I</t>
        </is>
      </c>
      <c r="Q67" s="8" t="inlineStr">
        <is>
          <t>not needed — CNP covers A, B and foreign matter</t>
        </is>
      </c>
    </row>
    <row r="68">
      <c r="A68" s="2" t="inlineStr"/>
      <c r="B68" s="3" t="inlineStr">
        <is>
          <t>not needed</t>
        </is>
      </c>
      <c r="C68" s="2" t="inlineStr">
        <is>
          <t>n/a</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SCR022601</t>
        </is>
      </c>
      <c r="J68" s="2" t="inlineStr">
        <is>
          <t>P060442</t>
        </is>
      </c>
      <c r="K68" s="2" t="inlineStr">
        <is>
          <t>Scrambler</t>
        </is>
      </c>
      <c r="L68" s="2" t="inlineStr">
        <is>
          <t>— all three on the CNP certificate —</t>
        </is>
      </c>
      <c r="M68" s="2" t="inlineStr">
        <is>
          <t>A: ППК26116 / B: ППК26116 / FM: ППК26116</t>
        </is>
      </c>
      <c r="N68" s="2">
        <f>IFERROR(INDEX('CoQ Register'!$B:$B,MATCH("P060442|I",'CoQ Register'!$S:$S,0)),"—")</f>
        <v/>
      </c>
      <c r="O68" s="6" t="inlineStr">
        <is>
          <t>—</t>
        </is>
      </c>
      <c r="P68" s="2" t="inlineStr">
        <is>
          <t>P060442|I</t>
        </is>
      </c>
      <c r="Q68" s="8" t="inlineStr">
        <is>
          <t>not needed — CNP covers A, B and foreign matter</t>
        </is>
      </c>
    </row>
    <row r="69">
      <c r="A69" s="2" t="inlineStr"/>
      <c r="B69" s="3" t="inlineStr">
        <is>
          <t>not needed</t>
        </is>
      </c>
      <c r="C69" s="2" t="inlineStr">
        <is>
          <t>n/a</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FB032601</t>
        </is>
      </c>
      <c r="J69" s="2" t="inlineStr">
        <is>
          <t>P060452</t>
        </is>
      </c>
      <c r="K69" s="2" t="inlineStr">
        <is>
          <t>FatBastard</t>
        </is>
      </c>
      <c r="L69" s="2" t="inlineStr">
        <is>
          <t>— all three on the CNP certificate —</t>
        </is>
      </c>
      <c r="M69" s="2" t="inlineStr">
        <is>
          <t>A: ППК26127 / B: ППК26127 / FM: ППК26127</t>
        </is>
      </c>
      <c r="N69" s="2">
        <f>IFERROR(INDEX('CoQ Register'!$B:$B,MATCH("P060452|I",'CoQ Register'!$S:$S,0)),"—")</f>
        <v/>
      </c>
      <c r="O69" s="6" t="inlineStr">
        <is>
          <t>—</t>
        </is>
      </c>
      <c r="P69" s="2" t="inlineStr">
        <is>
          <t>P060452|I</t>
        </is>
      </c>
      <c r="Q69" s="8" t="inlineStr">
        <is>
          <t>not needed — CNP covers A, B and foreign matter</t>
        </is>
      </c>
    </row>
    <row r="70">
      <c r="A70" s="2" t="inlineStr"/>
      <c r="B70" s="3" t="inlineStr">
        <is>
          <t>not needed</t>
        </is>
      </c>
      <c r="C70" s="2" t="inlineStr">
        <is>
          <t>n/a</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GG032601</t>
        </is>
      </c>
      <c r="J70" s="2" t="inlineStr">
        <is>
          <t>P060462</t>
        </is>
      </c>
      <c r="K70" s="2" t="inlineStr">
        <is>
          <t>GorillaGlue</t>
        </is>
      </c>
      <c r="L70" s="2" t="inlineStr">
        <is>
          <t>— all three on the CNP certificate —</t>
        </is>
      </c>
      <c r="M70" s="2" t="inlineStr">
        <is>
          <t>A: ППК26128 / B: ППК26128 / FM: ППК26128</t>
        </is>
      </c>
      <c r="N70" s="2">
        <f>IFERROR(INDEX('CoQ Register'!$B:$B,MATCH("P060462|I",'CoQ Register'!$S:$S,0)),"—")</f>
        <v/>
      </c>
      <c r="O70" s="6" t="inlineStr">
        <is>
          <t>—</t>
        </is>
      </c>
      <c r="P70" s="2" t="inlineStr">
        <is>
          <t>P060462|I</t>
        </is>
      </c>
      <c r="Q70" s="8" t="inlineStr">
        <is>
          <t>not needed — CNP covers A, B and foreign matter</t>
        </is>
      </c>
    </row>
    <row r="71">
      <c r="A71" s="2" t="inlineStr"/>
      <c r="B71" s="3" t="inlineStr">
        <is>
          <t>not needed</t>
        </is>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JD022601</t>
        </is>
      </c>
      <c r="J71" s="2" t="inlineStr">
        <is>
          <t>P060482</t>
        </is>
      </c>
      <c r="K71" s="2" t="inlineStr">
        <is>
          <t>JellyDonutz</t>
        </is>
      </c>
      <c r="L71" s="2" t="inlineStr">
        <is>
          <t>— all three on the CNP certificate —</t>
        </is>
      </c>
      <c r="M71" s="2" t="inlineStr">
        <is>
          <t>A: ППК26115 / B: ППК26115 / FM: ППК26115</t>
        </is>
      </c>
      <c r="N71" s="2">
        <f>IFERROR(INDEX('CoQ Register'!$B:$B,MATCH("P060482|I",'CoQ Register'!$S:$S,0)),"—")</f>
        <v/>
      </c>
      <c r="O71" s="6" t="inlineStr">
        <is>
          <t>—</t>
        </is>
      </c>
      <c r="P71" s="2" t="inlineStr">
        <is>
          <t>P060482|I</t>
        </is>
      </c>
      <c r="Q71" s="8" t="inlineStr">
        <is>
          <t>not needed — CNP covers A, B and foreign matter</t>
        </is>
      </c>
    </row>
    <row r="72">
      <c r="A72" s="2" t="inlineStr"/>
      <c r="B72" s="3" t="inlineStr">
        <is>
          <t>not needed</t>
        </is>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t>
        </is>
      </c>
      <c r="H72" s="2" t="inlineStr">
        <is>
          <t>initial release</t>
        </is>
      </c>
      <c r="I72" s="3" t="inlineStr">
        <is>
          <t>— not recorded — (P160012)</t>
        </is>
      </c>
      <c r="J72" s="2" t="inlineStr">
        <is>
          <t>P160012</t>
        </is>
      </c>
      <c r="K72" s="2" t="inlineStr"/>
      <c r="L72" s="2" t="inlineStr">
        <is>
          <t>— all three on the CNP certificate —</t>
        </is>
      </c>
      <c r="M72" s="2" t="inlineStr">
        <is>
          <t>A: ППК26117 / B: ППК26117 / FM: ППК26117</t>
        </is>
      </c>
      <c r="N72" s="2">
        <f>IFERROR(INDEX('CoQ Register'!$B:$B,MATCH("P160012|I",'CoQ Register'!$S:$S,0)),"—")</f>
        <v/>
      </c>
      <c r="O72" s="6" t="inlineStr">
        <is>
          <t>—</t>
        </is>
      </c>
      <c r="P72" s="2" t="inlineStr">
        <is>
          <t>P160012|I</t>
        </is>
      </c>
      <c r="Q72" s="8" t="inlineStr">
        <is>
          <t>not needed — CNP covers A, B and foreign matter</t>
        </is>
      </c>
    </row>
    <row r="73">
      <c r="A73" s="2" t="inlineStr"/>
      <c r="B73" s="3" t="inlineStr">
        <is>
          <t>not needed</t>
        </is>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t>
        </is>
      </c>
      <c r="H73" s="2" t="inlineStr">
        <is>
          <t>initial release</t>
        </is>
      </c>
      <c r="I73" s="3" t="inlineStr">
        <is>
          <t>— not recorded — (P160022)</t>
        </is>
      </c>
      <c r="J73" s="2" t="inlineStr">
        <is>
          <t>P160022</t>
        </is>
      </c>
      <c r="K73" s="2" t="inlineStr"/>
      <c r="L73" s="2" t="inlineStr">
        <is>
          <t>— all three on the CNP certificate —</t>
        </is>
      </c>
      <c r="M73" s="2" t="inlineStr">
        <is>
          <t>A: ППК26118 / B: ППК26118 / FM: ППК26118</t>
        </is>
      </c>
      <c r="N73" s="2">
        <f>IFERROR(INDEX('CoQ Register'!$B:$B,MATCH("P160022|I",'CoQ Register'!$S:$S,0)),"—")</f>
        <v/>
      </c>
      <c r="O73" s="6" t="inlineStr">
        <is>
          <t>—</t>
        </is>
      </c>
      <c r="P73" s="2" t="inlineStr">
        <is>
          <t>P160022|I</t>
        </is>
      </c>
      <c r="Q73" s="8" t="inlineStr">
        <is>
          <t>not needed — CNP covers A, B and foreign matter</t>
        </is>
      </c>
    </row>
    <row r="74">
      <c r="A74" s="2" t="inlineStr"/>
      <c r="B74" s="3" t="inlineStr">
        <is>
          <t>not needed</t>
        </is>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t>
        </is>
      </c>
      <c r="H74" s="2" t="inlineStr">
        <is>
          <t>initial release</t>
        </is>
      </c>
      <c r="I74" s="3" t="inlineStr">
        <is>
          <t>— not recorded — (P160032)</t>
        </is>
      </c>
      <c r="J74" s="2" t="inlineStr">
        <is>
          <t>P160032</t>
        </is>
      </c>
      <c r="K74" s="2" t="inlineStr"/>
      <c r="L74" s="2" t="inlineStr">
        <is>
          <t>— all three on the CNP certificate —</t>
        </is>
      </c>
      <c r="M74" s="2" t="inlineStr">
        <is>
          <t>A: ППК26119 / B: ППК26119 / FM: ППК26119</t>
        </is>
      </c>
      <c r="N74" s="2">
        <f>IFERROR(INDEX('CoQ Register'!$B:$B,MATCH("P160032|I",'CoQ Register'!$S:$S,0)),"—")</f>
        <v/>
      </c>
      <c r="O74" s="6" t="inlineStr">
        <is>
          <t>—</t>
        </is>
      </c>
      <c r="P74" s="2" t="inlineStr">
        <is>
          <t>P160032|I</t>
        </is>
      </c>
      <c r="Q74" s="8" t="inlineStr">
        <is>
          <t>not needed — CNP covers A, B and foreign matter</t>
        </is>
      </c>
    </row>
    <row r="75">
      <c r="A75" s="2" t="inlineStr"/>
      <c r="B75" s="3" t="inlineStr">
        <is>
          <t>— at issue —</t>
        </is>
      </c>
      <c r="C75" s="6" t="inlineStr">
        <is>
          <t>no</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legacy</t>
        </is>
      </c>
      <c r="H75" s="2" t="inlineStr">
        <is>
          <t>initial release</t>
        </is>
      </c>
      <c r="I75" s="3" t="inlineStr">
        <is>
          <t>GG1024</t>
        </is>
      </c>
      <c r="J75" s="2" t="inlineStr">
        <is>
          <t>N/A — no P batch assigned</t>
        </is>
      </c>
      <c r="K75" s="2" t="inlineStr">
        <is>
          <t>Gorilla Glue</t>
        </is>
      </c>
      <c r="L75" s="2" t="inlineStr">
        <is>
          <t>Ident A + Ident B + Foreign matter</t>
        </is>
      </c>
      <c r="M75" s="6" t="inlineStr">
        <is>
          <t>—</t>
        </is>
      </c>
      <c r="N75" s="2">
        <f>IFERROR(INDEX('CoQ Register'!$B:$B,MATCH("GG1024|I",'CoQ Register'!$S:$S,0)),"—")</f>
        <v/>
      </c>
      <c r="O75" s="2" t="inlineStr">
        <is>
          <t>iCoA-PP-2025-0003</t>
        </is>
      </c>
      <c r="P75" s="2" t="inlineStr">
        <is>
          <t>GG1024|I</t>
        </is>
      </c>
      <c r="Q75" s="9" t="inlineStr">
        <is>
          <t>not yet issuable — not in icoa_register.py — the register numbers the series and does not carry this round</t>
        </is>
      </c>
    </row>
    <row r="76">
      <c r="A76" s="2" t="inlineStr"/>
      <c r="B76" s="3" t="inlineStr">
        <is>
          <t>— at issue —</t>
        </is>
      </c>
      <c r="C76" s="6" t="inlineStr">
        <is>
          <t>no</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legacy</t>
        </is>
      </c>
      <c r="H76" s="2" t="inlineStr">
        <is>
          <t>initial release</t>
        </is>
      </c>
      <c r="I76" s="3" t="inlineStr">
        <is>
          <t>OMP1024_01</t>
        </is>
      </c>
      <c r="J76" s="2" t="inlineStr">
        <is>
          <t>P050042</t>
        </is>
      </c>
      <c r="K76" s="2" t="inlineStr">
        <is>
          <t>Orange Punch Mimosa</t>
        </is>
      </c>
      <c r="L76" s="2" t="inlineStr">
        <is>
          <t>Ident A + Ident B + Foreign matter</t>
        </is>
      </c>
      <c r="M76" s="6" t="inlineStr">
        <is>
          <t>—</t>
        </is>
      </c>
      <c r="N76" s="2">
        <f>IFERROR(INDEX('CoQ Register'!$B:$B,MATCH("P050042|I",'CoQ Register'!$S:$S,0)),"—")</f>
        <v/>
      </c>
      <c r="O76" s="2" t="inlineStr">
        <is>
          <t>iCoA-PP-2025-0007</t>
        </is>
      </c>
      <c r="P76" s="2" t="inlineStr">
        <is>
          <t>P050042|I</t>
        </is>
      </c>
      <c r="Q76" s="9" t="inlineStr">
        <is>
          <t>not yet issuable — no packaging date on the list — the register withholds a number</t>
        </is>
      </c>
    </row>
    <row r="77">
      <c r="A77" s="2" t="inlineStr"/>
      <c r="B77" s="3" t="inlineStr">
        <is>
          <t>— at issue —</t>
        </is>
      </c>
      <c r="C77" s="6" t="inlineStr">
        <is>
          <t>no</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legacy</t>
        </is>
      </c>
      <c r="H77" s="2" t="inlineStr">
        <is>
          <t>initial release</t>
        </is>
      </c>
      <c r="I77" s="3" t="inlineStr">
        <is>
          <t>BSS1024_01/1</t>
        </is>
      </c>
      <c r="J77" s="2" t="inlineStr">
        <is>
          <t>P050122</t>
        </is>
      </c>
      <c r="K77" s="2" t="inlineStr">
        <is>
          <t>Blue Sunset Sherbet</t>
        </is>
      </c>
      <c r="L77" s="2" t="inlineStr">
        <is>
          <t>Ident A + Ident B + Foreign matter</t>
        </is>
      </c>
      <c r="M77" s="6" t="inlineStr">
        <is>
          <t>—</t>
        </is>
      </c>
      <c r="N77" s="2">
        <f>IFERROR(INDEX('CoQ Register'!$B:$B,MATCH("P050122|I",'CoQ Register'!$S:$S,0)),"—")</f>
        <v/>
      </c>
      <c r="O77" s="6" t="inlineStr">
        <is>
          <t>—</t>
        </is>
      </c>
      <c r="P77" s="2" t="inlineStr">
        <is>
          <t>P050122|I</t>
        </is>
      </c>
      <c r="Q77" s="9" t="inlineStr">
        <is>
          <t>not yet issuable — no packaging date on the list — the register withholds a number</t>
        </is>
      </c>
    </row>
    <row r="78">
      <c r="A78" s="2" t="inlineStr"/>
      <c r="B78" s="3" t="inlineStr">
        <is>
          <t>— at issue —</t>
        </is>
      </c>
      <c r="C78" s="6" t="inlineStr">
        <is>
          <t>no</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legacy</t>
        </is>
      </c>
      <c r="H78" s="2" t="inlineStr">
        <is>
          <t>initial release</t>
        </is>
      </c>
      <c r="I78" s="3" t="inlineStr">
        <is>
          <t>BSS1024_01/2</t>
        </is>
      </c>
      <c r="J78" s="2" t="inlineStr">
        <is>
          <t>P050142</t>
        </is>
      </c>
      <c r="K78" s="2" t="inlineStr">
        <is>
          <t>Blue Sunset Sherbet</t>
        </is>
      </c>
      <c r="L78" s="2" t="inlineStr">
        <is>
          <t>Ident A + Ident B + Foreign matter</t>
        </is>
      </c>
      <c r="M78" s="6" t="inlineStr">
        <is>
          <t>—</t>
        </is>
      </c>
      <c r="N78" s="2">
        <f>IFERROR(INDEX('CoQ Register'!$B:$B,MATCH("P050142|I",'CoQ Register'!$S:$S,0)),"—")</f>
        <v/>
      </c>
      <c r="O78" s="6" t="inlineStr">
        <is>
          <t>—</t>
        </is>
      </c>
      <c r="P78" s="2" t="inlineStr">
        <is>
          <t>P050142|I</t>
        </is>
      </c>
      <c r="Q78" s="9" t="inlineStr">
        <is>
          <t>not yet issuable — not in icoa_register.py — the register numbers the series and does not carry this round</t>
        </is>
      </c>
    </row>
    <row r="79">
      <c r="A79" s="2" t="inlineStr"/>
      <c r="B79" s="3" t="inlineStr">
        <is>
          <t>— at issue —</t>
        </is>
      </c>
      <c r="C79" s="6" t="inlineStr">
        <is>
          <t>no</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legacy</t>
        </is>
      </c>
      <c r="H79" s="2" t="inlineStr">
        <is>
          <t>initial release</t>
        </is>
      </c>
      <c r="I79" s="3" t="inlineStr">
        <is>
          <t>WED102501</t>
        </is>
      </c>
      <c r="J79" s="2" t="inlineStr">
        <is>
          <t>P060102</t>
        </is>
      </c>
      <c r="K79" s="2" t="inlineStr">
        <is>
          <t>Wedding Cake</t>
        </is>
      </c>
      <c r="L79" s="2" t="inlineStr">
        <is>
          <t>Ident A + Ident B + Foreign matter</t>
        </is>
      </c>
      <c r="M79" s="6" t="inlineStr">
        <is>
          <t>—</t>
        </is>
      </c>
      <c r="N79" s="2">
        <f>IFERROR(INDEX('CoQ Register'!$B:$B,MATCH("P060102|I",'CoQ Register'!$S:$S,0)),"—")</f>
        <v/>
      </c>
      <c r="O79" s="6" t="inlineStr">
        <is>
          <t>—</t>
        </is>
      </c>
      <c r="P79" s="2" t="inlineStr">
        <is>
          <t>P060102|I</t>
        </is>
      </c>
      <c r="Q79" s="9" t="inlineStr">
        <is>
          <t>not yet issuable — not in icoa_register.py — the register numbers the series and does not carry this round</t>
        </is>
      </c>
    </row>
    <row r="80">
      <c r="A80" s="2" t="inlineStr"/>
      <c r="B80" s="3" t="inlineStr">
        <is>
          <t>— at issue —</t>
        </is>
      </c>
      <c r="C80" s="6" t="inlineStr">
        <is>
          <t>no</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legacy</t>
        </is>
      </c>
      <c r="H80" s="2" t="inlineStr">
        <is>
          <t>initial release</t>
        </is>
      </c>
      <c r="I80" s="3" t="inlineStr">
        <is>
          <t>GRC102501</t>
        </is>
      </c>
      <c r="J80" s="2" t="inlineStr">
        <is>
          <t>P060142</t>
        </is>
      </c>
      <c r="K80" s="2" t="inlineStr">
        <is>
          <t>Graps &amp; Creme</t>
        </is>
      </c>
      <c r="L80" s="2" t="inlineStr">
        <is>
          <t>Ident A + Ident B + Foreign matter</t>
        </is>
      </c>
      <c r="M80" s="6" t="inlineStr">
        <is>
          <t>—</t>
        </is>
      </c>
      <c r="N80" s="2">
        <f>IFERROR(INDEX('CoQ Register'!$B:$B,MATCH("P060142|I",'CoQ Register'!$S:$S,0)),"—")</f>
        <v/>
      </c>
      <c r="O80" s="6" t="inlineStr">
        <is>
          <t>—</t>
        </is>
      </c>
      <c r="P80" s="2" t="inlineStr">
        <is>
          <t>P060142|I</t>
        </is>
      </c>
      <c r="Q80" s="9" t="inlineStr">
        <is>
          <t>not yet issuable — not in icoa_register.py — the register numbers the series and does not carry this round</t>
        </is>
      </c>
    </row>
    <row r="81">
      <c r="A81" s="2" t="inlineStr"/>
      <c r="B81" s="3" t="inlineStr">
        <is>
          <t>— at issue —</t>
        </is>
      </c>
      <c r="C81" s="6" t="inlineStr">
        <is>
          <t>no</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JD112501＊</t>
        </is>
      </c>
      <c r="J81" s="2" t="inlineStr">
        <is>
          <t>N/A — no P batch assigned</t>
        </is>
      </c>
      <c r="K81" s="2" t="inlineStr">
        <is>
          <t>Jelly Donutz</t>
        </is>
      </c>
      <c r="L81" s="2" t="inlineStr">
        <is>
          <t>Ident A + Ident B + Foreign matter</t>
        </is>
      </c>
      <c r="M81" s="6" t="inlineStr">
        <is>
          <t>—</t>
        </is>
      </c>
      <c r="N81" s="2">
        <f>IFERROR(INDEX('CoQ Register'!$B:$B,MATCH("JD112501|I",'CoQ Register'!$S:$S,0)),"—")</f>
        <v/>
      </c>
      <c r="O81" s="2" t="inlineStr">
        <is>
          <t>iCoA-PP-2026-0015</t>
        </is>
      </c>
      <c r="P81" s="2" t="inlineStr">
        <is>
          <t>JD112501|I</t>
        </is>
      </c>
      <c r="Q81" s="9" t="inlineStr">
        <is>
          <t>not yet issuable — no packaging date on the list</t>
        </is>
      </c>
    </row>
    <row r="82">
      <c r="A82" s="2" t="inlineStr"/>
      <c r="B82" s="3" t="inlineStr">
        <is>
          <t>— at issue —</t>
        </is>
      </c>
      <c r="C82" s="6" t="inlineStr">
        <is>
          <t>no</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GG012601＊</t>
        </is>
      </c>
      <c r="J82" s="2" t="inlineStr">
        <is>
          <t>P060302</t>
        </is>
      </c>
      <c r="K82" s="2" t="inlineStr">
        <is>
          <t>Gorilla Glue</t>
        </is>
      </c>
      <c r="L82" s="2" t="inlineStr">
        <is>
          <t>Ident A + Ident B + Foreign matter</t>
        </is>
      </c>
      <c r="M82" s="6" t="inlineStr">
        <is>
          <t>—</t>
        </is>
      </c>
      <c r="N82" s="2">
        <f>IFERROR(INDEX('CoQ Register'!$B:$B,MATCH("P060302|I",'CoQ Register'!$S:$S,0)),"—")</f>
        <v/>
      </c>
      <c r="O82" s="6" t="inlineStr">
        <is>
          <t>—</t>
        </is>
      </c>
      <c r="P82" s="2" t="inlineStr">
        <is>
          <t>P060302|I</t>
        </is>
      </c>
      <c r="Q82" s="9" t="inlineStr">
        <is>
          <t>not yet issuable — not in icoa_register.py — the register numbers the series and does not carry this round</t>
        </is>
      </c>
    </row>
    <row r="83">
      <c r="A83" s="2" t="inlineStr"/>
      <c r="B83" s="3" t="inlineStr">
        <is>
          <t>— at issue —</t>
        </is>
      </c>
      <c r="C83" s="6" t="inlineStr">
        <is>
          <t>no</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JD012601＊</t>
        </is>
      </c>
      <c r="J83" s="2" t="inlineStr">
        <is>
          <t>P060312</t>
        </is>
      </c>
      <c r="K83" s="2" t="inlineStr">
        <is>
          <t>Jelly Donutz</t>
        </is>
      </c>
      <c r="L83" s="2" t="inlineStr">
        <is>
          <t>Ident A + Ident B + Foreign matter</t>
        </is>
      </c>
      <c r="M83" s="6" t="inlineStr">
        <is>
          <t>—</t>
        </is>
      </c>
      <c r="N83" s="2">
        <f>IFERROR(INDEX('CoQ Register'!$B:$B,MATCH("P060312|I",'CoQ Register'!$S:$S,0)),"—")</f>
        <v/>
      </c>
      <c r="O83" s="6" t="inlineStr">
        <is>
          <t>—</t>
        </is>
      </c>
      <c r="P83" s="2" t="inlineStr">
        <is>
          <t>P060312|I</t>
        </is>
      </c>
      <c r="Q83" s="9" t="inlineStr">
        <is>
          <t>not yet issuable — not in icoa_register.py — the register numbers the series and does not carry this round</t>
        </is>
      </c>
    </row>
    <row r="84">
      <c r="A84" s="2" t="inlineStr"/>
      <c r="B84" s="3" t="inlineStr">
        <is>
          <t>— at issue —</t>
        </is>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SCR012601*</t>
        </is>
      </c>
      <c r="J84" s="2" t="inlineStr">
        <is>
          <t>P060342</t>
        </is>
      </c>
      <c r="K84" s="2" t="inlineStr">
        <is>
          <t>Scrambler</t>
        </is>
      </c>
      <c r="L84" s="2" t="inlineStr">
        <is>
          <t>Ident A + Ident B + Foreign matter</t>
        </is>
      </c>
      <c r="M84" s="6" t="inlineStr">
        <is>
          <t>—</t>
        </is>
      </c>
      <c r="N84" s="2">
        <f>IFERROR(INDEX('CoQ Register'!$B:$B,MATCH("P060342|I",'CoQ Register'!$S:$S,0)),"—")</f>
        <v/>
      </c>
      <c r="O84" s="6" t="inlineStr">
        <is>
          <t>—</t>
        </is>
      </c>
      <c r="P84" s="2" t="inlineStr">
        <is>
          <t>P060342|I</t>
        </is>
      </c>
      <c r="Q84" s="9" t="inlineStr">
        <is>
          <t>not yet issuable — not in icoa_register.py — the register numbers the series and does not carry this round</t>
        </is>
      </c>
    </row>
    <row r="85">
      <c r="A85" s="2" t="inlineStr"/>
      <c r="B85" s="3" t="inlineStr">
        <is>
          <t>— at issue —</t>
        </is>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t="inlineStr"/>
      <c r="B86" s="3" t="inlineStr">
        <is>
          <t>— at issue —</t>
        </is>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t="inlineStr"/>
      <c r="B87" s="3" t="inlineStr">
        <is>
          <t>— at issue —</t>
        </is>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t="inlineStr"/>
      <c r="B88" s="3" t="inlineStr">
        <is>
          <t>— at issue —</t>
        </is>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t="inlineStr"/>
      <c r="B89" s="3" t="inlineStr">
        <is>
          <t>— at issue —</t>
        </is>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t="inlineStr"/>
      <c r="B90" s="3" t="inlineStr">
        <is>
          <t>— at issue —</t>
        </is>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t="inlineStr"/>
      <c r="B91" s="3" t="inlineStr">
        <is>
          <t>— at issue —</t>
        </is>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t="inlineStr"/>
      <c r="B92" s="3" t="inlineStr">
        <is>
          <t>— at issue —</t>
        </is>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t="inlineStr"/>
      <c r="B93" s="3" t="inlineStr">
        <is>
          <t>— at issue —</t>
        </is>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t="inlineStr"/>
      <c r="B94" s="3" t="inlineStr">
        <is>
          <t>— at issue —</t>
        </is>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t="inlineStr"/>
      <c r="B95" s="3" t="inlineStr">
        <is>
          <t>— at issue —</t>
        </is>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t="inlineStr"/>
      <c r="B96" s="3" t="inlineStr">
        <is>
          <t>— at issue —</t>
        </is>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t="inlineStr"/>
      <c r="B97" s="3" t="inlineStr">
        <is>
          <t>— at issue —</t>
        </is>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t="inlineStr"/>
      <c r="B98" s="3" t="inlineStr">
        <is>
          <t>— at issue —</t>
        </is>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t="inlineStr"/>
      <c r="B99" s="3" t="inlineStr">
        <is>
          <t>— at issue —</t>
        </is>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t="inlineStr"/>
      <c r="B100" s="3" t="inlineStr">
        <is>
          <t>— at issue —</t>
        </is>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t="inlineStr"/>
      <c r="B101" s="3" t="inlineStr">
        <is>
          <t>— at issue —</t>
        </is>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t="inlineStr"/>
      <c r="B102" s="3" t="inlineStr">
        <is>
          <t>— at issue —</t>
        </is>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t="inlineStr"/>
      <c r="B103" s="3" t="inlineStr">
        <is>
          <t>— at issue —</t>
        </is>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t="inlineStr"/>
      <c r="B104" s="3" t="inlineStr">
        <is>
          <t>— at issue —</t>
        </is>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t="inlineStr"/>
      <c r="B105" s="3" t="inlineStr">
        <is>
          <t>— at issue —</t>
        </is>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t="inlineStr"/>
      <c r="B106" s="3" t="inlineStr">
        <is>
          <t>— at issue —</t>
        </is>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t="inlineStr"/>
      <c r="B107" s="3" t="inlineStr">
        <is>
          <t>— at issue —</t>
        </is>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t="inlineStr"/>
      <c r="B108" s="3" t="inlineStr">
        <is>
          <t>— at issue —</t>
        </is>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t="inlineStr"/>
      <c r="B109" s="3" t="inlineStr">
        <is>
          <t>— at issue —</t>
        </is>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t="inlineStr"/>
      <c r="B110" s="3" t="inlineStr">
        <is>
          <t>— at issue —</t>
        </is>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THE NUMBER AND THE CODE ARE NOT COMPUTED HERE (11.09.2026). They are taken from icoa_register.py, which holds the standing series — one certificate per testing round, ordered by the issue date, then when the work was done, then the batch — and they are written as literal values. They used to be formulas over this sheet's own row order, No. counting the issuable rows above it and the code built from No.; that made the number a function of where a row happened to sit, and the owner found what it cost: the first physical row took iCoA-PP_26-001 while its own certificate cited iCoA-PP_26-066, and of the 49 rows that could be compared, none agreed. The numbers here are therefore an ordered SUBSET of the series with gaps, because the series numbers rounds this sheet does not carry as separate rows; a row the series does not number is left unnumbered and says why. Inserting a row no longer renumbers anything. verify_workbook.py compares the two on every run. FORMULAS remaining: the planned date is 15.05.2026 for a legacy row, else the first working day 5 days after Packaging complete; the packaging dates are looked up on Batch Dates by P batch (else by the batch as listed); CoQ (register) is looked up on the CoQ Register by Key — the iCoA Issuance sheet and the tracker cite this register by Key, so they follow.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Register'!$B:$B,MATCH("HPA1024|I",'iCoA Register'!$P:$P,0)),"—")</f>
        <v/>
      </c>
      <c r="I5" s="5">
        <f>IFERROR(INDEX('iCoA Register'!$D:$D,MATCH("HPA1024|I",'iCoA Register'!$P:$P,0)),"")</f>
        <v/>
      </c>
      <c r="J5" s="2" t="inlineStr">
        <is>
          <t>legacy</t>
        </is>
      </c>
      <c r="K5" s="2" t="inlineStr">
        <is>
          <t>initial release</t>
        </is>
      </c>
      <c r="L5" s="3" t="inlineStr">
        <is>
          <t>HPA1024</t>
        </is>
      </c>
      <c r="M5" s="2" t="inlineStr">
        <is>
          <t>N/A — no P batch assigned</t>
        </is>
      </c>
      <c r="N5" s="2" t="inlineStr">
        <is>
          <t>HighProAmnesia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Register'!$B:$B,MATCH("OPM1024|I",'iCoA Register'!$P:$P,0)),"—")</f>
        <v/>
      </c>
      <c r="I6" s="5">
        <f>IFERROR(INDEX('iCoA Register'!$D:$D,MATCH("OPM1024|I",'iCoA Register'!$P:$P,0)),"")</f>
        <v/>
      </c>
      <c r="J6" s="2" t="inlineStr">
        <is>
          <t>legacy</t>
        </is>
      </c>
      <c r="K6" s="2" t="inlineStr">
        <is>
          <t>initial release</t>
        </is>
      </c>
      <c r="L6" s="3" t="inlineStr">
        <is>
          <t>OPM1024</t>
        </is>
      </c>
      <c r="M6" s="2" t="inlineStr">
        <is>
          <t>N/A — no P batch assigned</t>
        </is>
      </c>
      <c r="N6" s="2" t="inlineStr">
        <is>
          <t>OrangePunchMimosa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n">
        <v>45807</v>
      </c>
      <c r="G7" s="2" t="inlineStr">
        <is>
          <t>2471-2025</t>
        </is>
      </c>
      <c r="H7" s="2">
        <f>IFERROR(INDEX('iCoA Register'!$B:$B,MATCH("P050022|I",'iCoA Register'!$P:$P,0)),"—")</f>
        <v/>
      </c>
      <c r="I7" s="5">
        <f>IFERROR(INDEX('iCoA Register'!$D:$D,MATCH("P050022|I",'iCoA Register'!$P:$P,0)),"")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27.05.2026</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2472-2025</t>
        </is>
      </c>
      <c r="H8" s="2">
        <f>IFERROR(INDEX('iCoA Register'!$B:$B,MATCH("P050012|I",'iCoA Register'!$P:$P,0)),"—")</f>
        <v/>
      </c>
      <c r="I8" s="5">
        <f>IFERROR(INDEX('iCoA Register'!$D:$D,MATCH("P050012|I",'iCoA Register'!$P:$P,0)),"")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45784</v>
      </c>
      <c r="G9" s="2" t="inlineStr">
        <is>
          <t>2157-2025</t>
        </is>
      </c>
      <c r="H9" s="2">
        <f>IFERROR(INDEX('iCoA Register'!$B:$B,MATCH("P050032|I",'iCoA Register'!$P:$P,0)),"—")</f>
        <v/>
      </c>
      <c r="I9" s="5">
        <f>IFERROR(INDEX('iCoA Register'!$D:$D,MATCH("P050032|I",'iCoA Register'!$P:$P,0)),"")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45832</v>
      </c>
      <c r="G10" s="2" t="inlineStr">
        <is>
          <t>ППК25155</t>
        </is>
      </c>
      <c r="H10" s="2">
        <f>IFERROR(INDEX('iCoA Register'!$B:$B,MATCH("P050052|I",'iCoA Register'!$P:$P,0)),"—")</f>
        <v/>
      </c>
      <c r="I10" s="5">
        <f>IFERROR(INDEX('iCoA Register'!$D:$D,MATCH("P050052|I",'iCoA Register'!$P:$P,0)),"")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45832</v>
      </c>
      <c r="G11" s="2" t="inlineStr">
        <is>
          <t>ППК25154</t>
        </is>
      </c>
      <c r="H11" s="2">
        <f>IFERROR(INDEX('iCoA Register'!$B:$B,MATCH("P050062|I",'iCoA Register'!$P:$P,0)),"—")</f>
        <v/>
      </c>
      <c r="I11" s="5">
        <f>IFERROR(INDEX('iCoA Register'!$D:$D,MATCH("P050062|I",'iCoA Register'!$P:$P,0)),"")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45848</v>
      </c>
      <c r="G12" s="2" t="inlineStr">
        <is>
          <t>ППК25175</t>
        </is>
      </c>
      <c r="H12" s="2">
        <f>IFERROR(INDEX('iCoA Register'!$B:$B,MATCH("P050072|I",'iCoA Register'!$P:$P,0)),"—")</f>
        <v/>
      </c>
      <c r="I12" s="5">
        <f>IFERROR(INDEX('iCoA Register'!$D:$D,MATCH("P050072|I",'iCoA Register'!$P:$P,0)),"")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45867</v>
      </c>
      <c r="G13" s="2" t="inlineStr">
        <is>
          <t>766-1375-25</t>
        </is>
      </c>
      <c r="H13" s="2">
        <f>IFERROR(INDEX('iCoA Register'!$B:$B,MATCH("P050082|I",'iCoA Register'!$P:$P,0)),"—")</f>
        <v/>
      </c>
      <c r="I13" s="5">
        <f>IFERROR(INDEX('iCoA Register'!$D:$D,MATCH("P050082|I",'iCoA Register'!$P:$P,0)),"")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45764</v>
      </c>
      <c r="G14" s="2" t="inlineStr">
        <is>
          <t>ППК25104</t>
        </is>
      </c>
      <c r="H14" s="2">
        <f>IFERROR(INDEX('iCoA Register'!$B:$B,MATCH("P050092|I",'iCoA Register'!$P:$P,0)),"—")</f>
        <v/>
      </c>
      <c r="I14" s="5">
        <f>IFERROR(INDEX('iCoA Register'!$D:$D,MATCH("P050092|I",'iCoA Register'!$P:$P,0)),"")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45764</v>
      </c>
      <c r="G15" s="2" t="inlineStr">
        <is>
          <t>ППК25105</t>
        </is>
      </c>
      <c r="H15" s="2">
        <f>IFERROR(INDEX('iCoA Register'!$B:$B,MATCH("P050102|I",'iCoA Register'!$P:$P,0)),"—")</f>
        <v/>
      </c>
      <c r="I15" s="5">
        <f>IFERROR(INDEX('iCoA Register'!$D:$D,MATCH("P050102|I",'iCoA Register'!$P:$P,0)),"")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45867</v>
      </c>
      <c r="G16" s="2" t="inlineStr">
        <is>
          <t>767-1376-25</t>
        </is>
      </c>
      <c r="H16" s="2">
        <f>IFERROR(INDEX('iCoA Register'!$B:$B,MATCH("P050112|I",'iCoA Register'!$P:$P,0)),"—")</f>
        <v/>
      </c>
      <c r="I16" s="5">
        <f>IFERROR(INDEX('iCoA Register'!$D:$D,MATCH("P050112|I",'iCoA Register'!$P:$P,0)),"")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46083</v>
      </c>
      <c r="G43" s="2" t="inlineStr">
        <is>
          <t>051-1-LoD-26</t>
        </is>
      </c>
      <c r="H43" s="2">
        <f>IFERROR(INDEX('iCoA Register'!$B:$B,MATCH("P060152|I",'iCoA Register'!$P:$P,0)),"—")</f>
        <v/>
      </c>
      <c r="I43" s="5">
        <f>IFERROR(INDEX('iCoA Register'!$D:$D,MATCH("P060152|I",'iCoA Register'!$P:$P,0)),"")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27.05.2026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46083</v>
      </c>
      <c r="G44" s="2" t="inlineStr">
        <is>
          <t>051-3-LoD-26</t>
        </is>
      </c>
      <c r="H44" s="2">
        <f>IFERROR(INDEX('iCoA Register'!$B:$B,MATCH("P060162|I",'iCoA Register'!$P:$P,0)),"—")</f>
        <v/>
      </c>
      <c r="I44" s="5">
        <f>IFERROR(INDEX('iCoA Register'!$D:$D,MATCH("P060162|I",'iCoA Register'!$P:$P,0)),"")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27.05.2026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46083</v>
      </c>
      <c r="G45" s="2" t="inlineStr">
        <is>
          <t>051-4-LoD-26</t>
        </is>
      </c>
      <c r="H45" s="2">
        <f>IFERROR(INDEX('iCoA Register'!$B:$B,MATCH("P060172|I",'iCoA Register'!$P:$P,0)),"—")</f>
        <v/>
      </c>
      <c r="I45" s="5">
        <f>IFERROR(INDEX('iCoA Register'!$D:$D,MATCH("P060172|I",'iCoA Register'!$P:$P,0)),"")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27.05.2026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46083</v>
      </c>
      <c r="G46" s="2" t="inlineStr">
        <is>
          <t>051-6-LoD-26</t>
        </is>
      </c>
      <c r="H46" s="2">
        <f>IFERROR(INDEX('iCoA Register'!$B:$B,MATCH("P060182|I",'iCoA Register'!$P:$P,0)),"—")</f>
        <v/>
      </c>
      <c r="I46" s="5">
        <f>IFERROR(INDEX('iCoA Register'!$D:$D,MATCH("P060182|I",'iCoA Register'!$P:$P,0)),"")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27.05.2026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n">
        <v>46083</v>
      </c>
      <c r="G47" s="2" t="inlineStr">
        <is>
          <t>051-2-LoD-26</t>
        </is>
      </c>
      <c r="H47" s="2">
        <f>IFERROR(INDEX('iCoA Register'!$B:$B,MATCH("P060192|I",'iCoA Register'!$P:$P,0)),"—")</f>
        <v/>
      </c>
      <c r="I47" s="5">
        <f>IFERROR(INDEX('iCoA Register'!$D:$D,MATCH("P060192|I",'iCoA Register'!$P:$P,0)),"")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27.05.2026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051-5-LoD-26</t>
        </is>
      </c>
      <c r="H48" s="2">
        <f>IFERROR(INDEX('iCoA Register'!$B:$B,MATCH("P060202|I",'iCoA Register'!$P:$P,0)),"—")</f>
        <v/>
      </c>
      <c r="I48" s="5">
        <f>IFERROR(INDEX('iCoA Register'!$D:$D,MATCH("P060202|I",'iCoA Register'!$P:$P,0)),"")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46153</v>
      </c>
      <c r="G49" s="2" t="inlineStr">
        <is>
          <t>ППК26063</t>
        </is>
      </c>
      <c r="H49" s="2">
        <f>IFERROR(INDEX('iCoA Register'!$B:$B,MATCH("P060212|I",'iCoA Register'!$P:$P,0)),"—")</f>
        <v/>
      </c>
      <c r="I49" s="5">
        <f>IFERROR(INDEX('iCoA Register'!$D:$D,MATCH("P060212|I",'iCoA Register'!$P:$P,0)),"")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27.05.2026</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46086</v>
      </c>
      <c r="G50" s="2" t="inlineStr">
        <is>
          <t>ППК26031</t>
        </is>
      </c>
      <c r="H50" s="2">
        <f>IFERROR(INDEX('iCoA Register'!$B:$B,MATCH("P060222|I",'iCoA Register'!$P:$P,0)),"—")</f>
        <v/>
      </c>
      <c r="I50" s="5">
        <f>IFERROR(INDEX('iCoA Register'!$D:$D,MATCH("P060222|I",'iCoA Register'!$P:$P,0)),"")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46086</v>
      </c>
      <c r="G51" s="2" t="inlineStr">
        <is>
          <t>ППК26030</t>
        </is>
      </c>
      <c r="H51" s="2">
        <f>IFERROR(INDEX('iCoA Register'!$B:$B,MATCH("P060232|I",'iCoA Register'!$P:$P,0)),"—")</f>
        <v/>
      </c>
      <c r="I51" s="5">
        <f>IFERROR(INDEX('iCoA Register'!$D:$D,MATCH("P060232|I",'iCoA Register'!$P:$P,0)),"")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46135</v>
      </c>
      <c r="G52" s="2" t="inlineStr">
        <is>
          <t>1627-2026</t>
        </is>
      </c>
      <c r="H52" s="2">
        <f>IFERROR(INDEX('iCoA Register'!$B:$B,MATCH("P060242|I",'iCoA Register'!$P:$P,0)),"—")</f>
        <v/>
      </c>
      <c r="I52" s="5">
        <f>IFERROR(INDEX('iCoA Register'!$D:$D,MATCH("P060242|I",'iCoA Register'!$P:$P,0)),"")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27.05.2026</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46153</v>
      </c>
      <c r="G53" s="2" t="inlineStr">
        <is>
          <t>ППК26061</t>
        </is>
      </c>
      <c r="H53" s="2">
        <f>IFERROR(INDEX('iCoA Register'!$B:$B,MATCH("P060252|I",'iCoA Register'!$P:$P,0)),"—")</f>
        <v/>
      </c>
      <c r="I53" s="5">
        <f>IFERROR(INDEX('iCoA Register'!$D:$D,MATCH("P060252|I",'iCoA Register'!$P:$P,0)),"")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27.05.2026</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46135</v>
      </c>
      <c r="G54" s="2" t="inlineStr">
        <is>
          <t>1625-2026</t>
        </is>
      </c>
      <c r="H54" s="2">
        <f>IFERROR(INDEX('iCoA Register'!$B:$B,MATCH("P060262|I",'iCoA Register'!$P:$P,0)),"—")</f>
        <v/>
      </c>
      <c r="I54" s="5">
        <f>IFERROR(INDEX('iCoA Register'!$D:$D,MATCH("P060262|I",'iCoA Register'!$P:$P,0)),"")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ППК26068</t>
        </is>
      </c>
      <c r="H55" s="2">
        <f>IFERROR(INDEX('iCoA Register'!$B:$B,MATCH("P060272|I",'iCoA Register'!$P:$P,0)),"—")</f>
        <v/>
      </c>
      <c r="I55" s="5">
        <f>IFERROR(INDEX('iCoA Register'!$D:$D,MATCH("P060272|I",'iCoA Register'!$P:$P,0)),"")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46153</v>
      </c>
      <c r="G56" s="2" t="inlineStr">
        <is>
          <t>ППК26069</t>
        </is>
      </c>
      <c r="H56" s="2">
        <f>IFERROR(INDEX('iCoA Register'!$B:$B,MATCH("P060282|I",'iCoA Register'!$P:$P,0)),"—")</f>
        <v/>
      </c>
      <c r="I56" s="5">
        <f>IFERROR(INDEX('iCoA Register'!$D:$D,MATCH("P060282|I",'iCoA Register'!$P:$P,0)),"")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46153</v>
      </c>
      <c r="G57" s="2" t="inlineStr">
        <is>
          <t>ППК26066</t>
        </is>
      </c>
      <c r="H57" s="2">
        <f>IFERROR(INDEX('iCoA Register'!$B:$B,MATCH("P060292|I",'iCoA Register'!$P:$P,0)),"—")</f>
        <v/>
      </c>
      <c r="I57" s="5">
        <f>IFERROR(INDEX('iCoA Register'!$D:$D,MATCH("P060292|I",'iCoA Register'!$P:$P,0)),"")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inlineStr">
        <is>
          <t>—</t>
        </is>
      </c>
      <c r="G58" s="2" t="inlineStr">
        <is>
          <t>—</t>
        </is>
      </c>
      <c r="H58" s="2">
        <f>IFERROR(INDEX('iCoA Register'!$B:$B,MATCH("P060332|I",'iCoA Register'!$P:$P,0)),"—")</f>
        <v/>
      </c>
      <c r="I58" s="5">
        <f>IFERROR(INDEX('iCoA Register'!$D:$D,MATCH("P060332|I",'iCoA Register'!$P:$P,0)),"")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ППК26067</t>
        </is>
      </c>
      <c r="H59" s="2">
        <f>IFERROR(INDEX('iCoA Register'!$B:$B,MATCH("P060322|I",'iCoA Register'!$P:$P,0)),"—")</f>
        <v/>
      </c>
      <c r="I59" s="5">
        <f>IFERROR(INDEX('iCoA Register'!$D:$D,MATCH("P060322|I",'iCoA Register'!$P:$P,0)),"")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inlineStr">
        <is>
          <t>—</t>
        </is>
      </c>
      <c r="G60" s="2" t="inlineStr">
        <is>
          <t>—</t>
        </is>
      </c>
      <c r="H60" s="2">
        <f>IFERROR(INDEX('iCoA Register'!$B:$B,MATCH("P060352|I",'iCoA Register'!$P:$P,0)),"—")</f>
        <v/>
      </c>
      <c r="I60" s="5">
        <f>IFERROR(INDEX('iCoA Register'!$D:$D,MATCH("P060352|I",'iCoA Register'!$P:$P,0)),"")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inlineStr">
        <is>
          <t>—</t>
        </is>
      </c>
      <c r="G61" s="2" t="inlineStr">
        <is>
          <t>—</t>
        </is>
      </c>
      <c r="H61" s="2">
        <f>IFERROR(INDEX('iCoA Register'!$B:$B,MATCH("P060382|I",'iCoA Register'!$P:$P,0)),"—")</f>
        <v/>
      </c>
      <c r="I61" s="5">
        <f>IFERROR(INDEX('iCoA Register'!$D:$D,MATCH("P060382|I",'iCoA Register'!$P:$P,0)),"")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46203</v>
      </c>
      <c r="G62" s="2" t="inlineStr">
        <is>
          <t>ППК26110</t>
        </is>
      </c>
      <c r="H62" s="2">
        <f>IFERROR(INDEX('iCoA Register'!$B:$B,MATCH("P060392|I",'iCoA Register'!$P:$P,0)),"—")</f>
        <v/>
      </c>
      <c r="I62" s="5">
        <f>IFERROR(INDEX('iCoA Register'!$D:$D,MATCH("P060392|I",'iCoA Register'!$P:$P,0)),"")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46203</v>
      </c>
      <c r="G63" s="2" t="inlineStr">
        <is>
          <t>ППК26111</t>
        </is>
      </c>
      <c r="H63" s="2">
        <f>IFERROR(INDEX('iCoA Register'!$B:$B,MATCH("P060362|I",'iCoA Register'!$P:$P,0)),"—")</f>
        <v/>
      </c>
      <c r="I63" s="5">
        <f>IFERROR(INDEX('iCoA Register'!$D:$D,MATCH("P060362|I",'iCoA Register'!$P:$P,0)),"")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46203</v>
      </c>
      <c r="G64" s="2" t="inlineStr">
        <is>
          <t>ППК26111</t>
        </is>
      </c>
      <c r="H64" s="2">
        <f>IFERROR(INDEX('iCoA Register'!$B:$B,MATCH("P060422|I",'iCoA Register'!$P:$P,0)),"—")</f>
        <v/>
      </c>
      <c r="I64" s="5">
        <f>IFERROR(INDEX('iCoA Register'!$D:$D,MATCH("P060422|I",'iCoA Register'!$P:$P,0)),"")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46203</v>
      </c>
      <c r="G65" s="2" t="inlineStr">
        <is>
          <t>ППК26114</t>
        </is>
      </c>
      <c r="H65" s="2">
        <f>IFERROR(INDEX('iCoA Register'!$B:$B,MATCH("P060402|I",'iCoA Register'!$P:$P,0)),"—")</f>
        <v/>
      </c>
      <c r="I65" s="5">
        <f>IFERROR(INDEX('iCoA Register'!$D:$D,MATCH("P060402|I",'iCoA Register'!$P:$P,0)),"")</f>
        <v/>
      </c>
      <c r="J65" s="2" t="inlineStr">
        <is>
          <t>post-SOP</t>
        </is>
      </c>
      <c r="K65" s="2" t="inlineStr">
        <is>
          <t>initial release</t>
        </is>
      </c>
      <c r="L65" s="3" t="inlineStr">
        <is>
          <t>GG012603</t>
        </is>
      </c>
      <c r="M65" s="2" t="inlineStr">
        <is>
          <t>P060402</t>
        </is>
      </c>
      <c r="N65" s="2" t="inlineStr">
        <is>
          <t>GorillaGlue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n">
        <v>46203</v>
      </c>
      <c r="G66" s="2" t="inlineStr">
        <is>
          <t>ППК26111</t>
        </is>
      </c>
      <c r="H66" s="2">
        <f>IFERROR(INDEX('iCoA Register'!$B:$B,MATCH("P060412|I",'iCoA Register'!$P:$P,0)),"—")</f>
        <v/>
      </c>
      <c r="I66" s="5">
        <f>IFERROR(INDEX('iCoA Register'!$D:$D,MATCH("P060412|I",'iCoA Register'!$P:$P,0)),"")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46203</v>
      </c>
      <c r="G67" s="2" t="inlineStr">
        <is>
          <t>ППК26112</t>
        </is>
      </c>
      <c r="H67" s="2">
        <f>IFERROR(INDEX('iCoA Register'!$B:$B,MATCH("P060432|I",'iCoA Register'!$P:$P,0)),"—")</f>
        <v/>
      </c>
      <c r="I67" s="5">
        <f>IFERROR(INDEX('iCoA Register'!$D:$D,MATCH("P060432|I",'iCoA Register'!$P:$P,0)),"")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n">
        <v>46209</v>
      </c>
      <c r="G68" s="2" t="inlineStr">
        <is>
          <t>ППК26116</t>
        </is>
      </c>
      <c r="H68" s="2">
        <f>IFERROR(INDEX('iCoA Register'!$B:$B,MATCH("P060442|I",'iCoA Register'!$P:$P,0)),"—")</f>
        <v/>
      </c>
      <c r="I68" s="5">
        <f>IFERROR(INDEX('iCoA Register'!$D:$D,MATCH("P060442|I",'iCoA Register'!$P:$P,0)),"")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n">
        <v>46224</v>
      </c>
      <c r="G69" s="2" t="inlineStr">
        <is>
          <t>ППК26127</t>
        </is>
      </c>
      <c r="H69" s="2">
        <f>IFERROR(INDEX('iCoA Register'!$B:$B,MATCH("P060452|I",'iCoA Register'!$P:$P,0)),"—")</f>
        <v/>
      </c>
      <c r="I69" s="5">
        <f>IFERROR(INDEX('iCoA Register'!$D:$D,MATCH("P060452|I",'iCoA Register'!$P:$P,0)),"")</f>
        <v/>
      </c>
      <c r="J69" s="2" t="inlineStr">
        <is>
          <t>post-SOP</t>
        </is>
      </c>
      <c r="K69" s="2" t="inlineStr">
        <is>
          <t>initial release</t>
        </is>
      </c>
      <c r="L69" s="3" t="inlineStr">
        <is>
          <t>FB032601</t>
        </is>
      </c>
      <c r="M69" s="2" t="inlineStr">
        <is>
          <t>P060452</t>
        </is>
      </c>
      <c r="N69" s="2" t="inlineStr">
        <is>
          <t>FatBastard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n">
        <v>46224</v>
      </c>
      <c r="G70" s="2" t="inlineStr">
        <is>
          <t>ППК26128</t>
        </is>
      </c>
      <c r="H70" s="2">
        <f>IFERROR(INDEX('iCoA Register'!$B:$B,MATCH("P060462|I",'iCoA Register'!$P:$P,0)),"—")</f>
        <v/>
      </c>
      <c r="I70" s="5">
        <f>IFERROR(INDEX('iCoA Register'!$D:$D,MATCH("P060462|I",'iCoA Register'!$P:$P,0)),"")</f>
        <v/>
      </c>
      <c r="J70" s="2" t="inlineStr">
        <is>
          <t>post-SOP</t>
        </is>
      </c>
      <c r="K70" s="2" t="inlineStr">
        <is>
          <t>initial release</t>
        </is>
      </c>
      <c r="L70" s="3" t="inlineStr">
        <is>
          <t>GG032601</t>
        </is>
      </c>
      <c r="M70" s="2" t="inlineStr">
        <is>
          <t>P060462</t>
        </is>
      </c>
      <c r="N70" s="2" t="inlineStr">
        <is>
          <t>GorillaGlue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ППК26115</t>
        </is>
      </c>
      <c r="H71" s="2">
        <f>IFERROR(INDEX('iCoA Register'!$B:$B,MATCH("P060482|I",'iCoA Register'!$P:$P,0)),"—")</f>
        <v/>
      </c>
      <c r="I71" s="5">
        <f>IFERROR(INDEX('iCoA Register'!$D:$D,MATCH("P060482|I",'iCoA Register'!$P:$P,0)),"")</f>
        <v/>
      </c>
      <c r="J71" s="2" t="inlineStr">
        <is>
          <t>post-SOP</t>
        </is>
      </c>
      <c r="K71" s="2" t="inlineStr">
        <is>
          <t>initial release</t>
        </is>
      </c>
      <c r="L71" s="3" t="inlineStr">
        <is>
          <t>JD022601</t>
        </is>
      </c>
      <c r="M71" s="2" t="inlineStr">
        <is>
          <t>P060482</t>
        </is>
      </c>
      <c r="N71" s="2" t="inlineStr">
        <is>
          <t>JellyDonutz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Register'!$P:$P,0))),INDEX('iCoA Register'!$F:$F,MATCH(S72,'iCoA Register'!$P:$P,0)),0),0)))</f>
        <v/>
      </c>
      <c r="E72" s="5">
        <f>IF(ISNUMBER(F72),MAX(DATE(2026,6,6),F72+7),DATE(2026,6,6))</f>
        <v/>
      </c>
      <c r="F72" s="5" t="inlineStr">
        <is>
          <t>—</t>
        </is>
      </c>
      <c r="G72" s="2" t="inlineStr">
        <is>
          <t>—</t>
        </is>
      </c>
      <c r="H72" s="2">
        <f>IFERROR(INDEX('iCoA Register'!$B:$B,MATCH("GG1024|I",'iCoA Register'!$P:$P,0)),"—")</f>
        <v/>
      </c>
      <c r="I72" s="5">
        <f>IFERROR(INDEX('iCoA Register'!$D:$D,MATCH("GG1024|I",'iCoA Register'!$P:$P,0)),"")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9"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Register'!$P:$P,0))),INDEX('iCoA Register'!$F:$F,MATCH(S73,'iCoA Register'!$P:$P,0)),0),0)))</f>
        <v/>
      </c>
      <c r="E73" s="5">
        <f>IF(ISNUMBER(F73),MAX(DATE(2026,6,6),F73+7),DATE(2026,6,6))</f>
        <v/>
      </c>
      <c r="F73" s="5" t="n">
        <v>45784</v>
      </c>
      <c r="G73" s="2" t="inlineStr">
        <is>
          <t>2156-2025</t>
        </is>
      </c>
      <c r="H73" s="2">
        <f>IFERROR(INDEX('iCoA Register'!$B:$B,MATCH("P050042|I",'iCoA Register'!$P:$P,0)),"—")</f>
        <v/>
      </c>
      <c r="I73" s="5">
        <f>IFERROR(INDEX('iCoA Register'!$D:$D,MATCH("P050042|I",'iCoA Register'!$P:$P,0)),"")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9"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Register'!$P:$P,0))),INDEX('iCoA Register'!$F:$F,MATCH(S74,'iCoA Register'!$P:$P,0)),0),0)))</f>
        <v/>
      </c>
      <c r="E74" s="5">
        <f>IF(ISNUMBER(F74),MAX(DATE(2026,6,6),F74+7),DATE(2026,6,6))</f>
        <v/>
      </c>
      <c r="F74" s="5" t="n">
        <v>45848</v>
      </c>
      <c r="G74" s="2" t="inlineStr">
        <is>
          <t>ППК25176</t>
        </is>
      </c>
      <c r="H74" s="2">
        <f>IFERROR(INDEX('iCoA Register'!$B:$B,MATCH("P050122|I",'iCoA Register'!$P:$P,0)),"—")</f>
        <v/>
      </c>
      <c r="I74" s="5">
        <f>IFERROR(INDEX('iCoA Register'!$D:$D,MATCH("P050122|I",'iCoA Register'!$P:$P,0)),"")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9"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Register'!$P:$P,0))),INDEX('iCoA Register'!$F:$F,MATCH(S75,'iCoA Register'!$P:$P,0)),0),0)))</f>
        <v/>
      </c>
      <c r="E75" s="5">
        <f>IF(ISNUMBER(F75),MAX(DATE(2026,6,6),F75+7),DATE(2026,6,6))</f>
        <v/>
      </c>
      <c r="F75" s="5" t="inlineStr">
        <is>
          <t>—</t>
        </is>
      </c>
      <c r="G75" s="2" t="inlineStr">
        <is>
          <t>—</t>
        </is>
      </c>
      <c r="H75" s="2">
        <f>IFERROR(INDEX('iCoA Register'!$B:$B,MATCH("P050142|I",'iCoA Register'!$P:$P,0)),"—")</f>
        <v/>
      </c>
      <c r="I75" s="5">
        <f>IFERROR(INDEX('iCoA Register'!$D:$D,MATCH("P050142|I",'iCoA Register'!$P:$P,0)),"")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9"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Register'!$P:$P,0))),INDEX('iCoA Register'!$F:$F,MATCH(S76,'iCoA Register'!$P:$P,0)),0),0)))</f>
        <v/>
      </c>
      <c r="E76" s="5">
        <f>IF(ISNUMBER(F76),MAX(DATE(2026,6,6),F76+7),DATE(2026,6,6))</f>
        <v/>
      </c>
      <c r="F76" s="5" t="inlineStr">
        <is>
          <t>—</t>
        </is>
      </c>
      <c r="G76" s="2" t="inlineStr">
        <is>
          <t>—</t>
        </is>
      </c>
      <c r="H76" s="2">
        <f>IFERROR(INDEX('iCoA Register'!$B:$B,MATCH("P060102|I",'iCoA Register'!$P:$P,0)),"—")</f>
        <v/>
      </c>
      <c r="I76" s="5">
        <f>IFERROR(INDEX('iCoA Register'!$D:$D,MATCH("P060102|I",'iCoA Register'!$P:$P,0)),"")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9"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Register'!$P:$P,0))),INDEX('iCoA Register'!$F:$F,MATCH(S77,'iCoA Register'!$P:$P,0)),0),0)))</f>
        <v/>
      </c>
      <c r="E77" s="5">
        <f>IF(ISNUMBER(F77),MAX(DATE(2026,6,6),F77+7),DATE(2026,6,6))</f>
        <v/>
      </c>
      <c r="F77" s="5" t="n">
        <v>46083</v>
      </c>
      <c r="G77" s="2" t="inlineStr">
        <is>
          <t>051-6-LoD-26</t>
        </is>
      </c>
      <c r="H77" s="2">
        <f>IFERROR(INDEX('iCoA Register'!$B:$B,MATCH("P060142|I",'iCoA Register'!$P:$P,0)),"—")</f>
        <v/>
      </c>
      <c r="I77" s="5">
        <f>IFERROR(INDEX('iCoA Register'!$D:$D,MATCH("P060142|I",'iCoA Register'!$P:$P,0)),"")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9"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Register'!$P:$P,0))),INDEX('iCoA Register'!$F:$F,MATCH(S78,'iCoA Register'!$P:$P,0)),0),0)))</f>
        <v/>
      </c>
      <c r="E78" s="5">
        <f>IF(ISNUMBER(F78),MAX(DATE(2026,6,6),F78+7),DATE(2026,6,6))</f>
        <v/>
      </c>
      <c r="F78" s="5" t="n">
        <v>46153</v>
      </c>
      <c r="G78" s="2" t="inlineStr">
        <is>
          <t>ППК26065</t>
        </is>
      </c>
      <c r="H78" s="2">
        <f>IFERROR(INDEX('iCoA Register'!$B:$B,MATCH("JD112501|I",'iCoA Register'!$P:$P,0)),"—")</f>
        <v/>
      </c>
      <c r="I78" s="5">
        <f>IFERROR(INDEX('iCoA Register'!$D:$D,MATCH("JD112501|I",'iCoA Register'!$P:$P,0)),"")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9"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Register'!$P:$P,0))),INDEX('iCoA Register'!$F:$F,MATCH(S79,'iCoA Register'!$P:$P,0)),0),0)))</f>
        <v/>
      </c>
      <c r="E79" s="5">
        <f>IF(ISNUMBER(F79),MAX(DATE(2026,6,6),F79+7),DATE(2026,6,6))</f>
        <v/>
      </c>
      <c r="F79" s="5" t="n">
        <v>46153</v>
      </c>
      <c r="G79" s="2" t="inlineStr">
        <is>
          <t>ППК26062</t>
        </is>
      </c>
      <c r="H79" s="2">
        <f>IFERROR(INDEX('iCoA Register'!$B:$B,MATCH("P060302|I",'iCoA Register'!$P:$P,0)),"—")</f>
        <v/>
      </c>
      <c r="I79" s="5">
        <f>IFERROR(INDEX('iCoA Register'!$D:$D,MATCH("P060302|I",'iCoA Register'!$P:$P,0)),"")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9"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Register'!$P:$P,0))),INDEX('iCoA Register'!$F:$F,MATCH(S80,'iCoA Register'!$P:$P,0)),0),0)))</f>
        <v/>
      </c>
      <c r="E80" s="5">
        <f>IF(ISNUMBER(F80),MAX(DATE(2026,6,6),F80+7),DATE(2026,6,6))</f>
        <v/>
      </c>
      <c r="F80" s="5" t="n">
        <v>46153</v>
      </c>
      <c r="G80" s="2" t="inlineStr">
        <is>
          <t>ППК26064</t>
        </is>
      </c>
      <c r="H80" s="2">
        <f>IFERROR(INDEX('iCoA Register'!$B:$B,MATCH("P060312|I",'iCoA Register'!$P:$P,0)),"—")</f>
        <v/>
      </c>
      <c r="I80" s="5">
        <f>IFERROR(INDEX('iCoA Register'!$D:$D,MATCH("P060312|I",'iCoA Register'!$P:$P,0)),"")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9"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inlineStr">
        <is>
          <t>—</t>
        </is>
      </c>
      <c r="G81" s="2" t="inlineStr">
        <is>
          <t>—</t>
        </is>
      </c>
      <c r="H81" s="2">
        <f>IFERROR(INDEX('iCoA Register'!$B:$B,MATCH("P060342|I",'iCoA Register'!$P:$P,0)),"—")</f>
        <v/>
      </c>
      <c r="I81" s="5">
        <f>IFERROR(INDEX('iCoA Register'!$D:$D,MATCH("P060342|I",'iCoA Register'!$P:$P,0)),"")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9"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THE NUMBER AND THE CODE ARE NOT COMPUTED HERE (11.09.2026). They are taken from icoa_register.py, which holds the standing series — one certificate per testing round, ordered by the issue date, then when the work was done, then the batch — and they are written as literal values. They used to be formulas over this sheet's own row order, No. counting the issuable rows above it and the code built from No.; that made the number a function of where a row happened to sit, and the owner found what it cost: the first physical row took iCoA-PP_26-001 while its own certificate cited iCoA-PP_26-066, and of the 49 rows that could be compared, none agreed. The numbers here are therefore an ordered SUBSET of the series with gaps, because the series numbers rounds this sheet does not carry as separate rows; a row the series does not number is left unnumbered and says why. Inserting a row no longer renumbers anything. verify_workbook.py compares the two on every run. FORMULAS remaining: the planned date is 15.05.2026 for a legacy row, else the first working day 5 days after Packaging complete; the packaging dates are looked up on Batch Dates by P batch (else by the batch as listed); CoQ (register) is looked up on the CoQ Register by Key — the iCoA Issuance sheet and the tracker cite this register by Key, so they follow.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2026-09-11T13:10:21Z</dcterms:created>
  <dcterms:modified xsi:type="dcterms:W3CDTF">2026-09-11T13:10:21Z</dcterms:modified>
</cp:coreProperties>
</file>