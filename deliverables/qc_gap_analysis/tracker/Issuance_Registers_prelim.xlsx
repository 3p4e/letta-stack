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 (from the list)</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 (from the list)</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Donutz</t>
        </is>
      </c>
      <c r="L56" s="2" t="inlineStr">
        <is>
          <t>Ident A + Ident B + Foreign matter</t>
        </is>
      </c>
      <c r="M56" s="6" t="inlineStr">
        <is>
          <t>—</t>
        </is>
      </c>
      <c r="N56" s="2">
        <f>IFERROR(INDEX('CoQ Register'!$B:$B,MATCH("JD112501|I",'CoQ Register'!$S:$S,0)),"—")</f>
        <v/>
      </c>
      <c r="O56" s="2" t="inlineStr">
        <is>
          <t>iCoA-PP-2026-0015</t>
        </is>
      </c>
      <c r="P56" s="2" t="inlineStr">
        <is>
          <t>JD112501|I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P060222|I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Market</t>
        </is>
      </c>
      <c r="L58" s="2" t="inlineStr">
        <is>
          <t>Ident A + Ident B + Foreign matter</t>
        </is>
      </c>
      <c r="M58" s="6" t="inlineStr">
        <is>
          <t>—</t>
        </is>
      </c>
      <c r="N58" s="2">
        <f>IFERROR(INDEX('CoQ Register'!$B:$B,MATCH("P060232|I",'CoQ Register'!$S:$S,0)),"—")</f>
        <v/>
      </c>
      <c r="O58" s="2" t="inlineStr">
        <is>
          <t>iCoA-PP-2026-0016</t>
        </is>
      </c>
      <c r="P58" s="2" t="inlineStr">
        <is>
          <t>P060232|I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P060242|I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P060252|I</t>
        </is>
      </c>
      <c r="Q60" s="7" t="inlineStr">
        <is>
          <t>registered — issued with the legacy series on 15.05.2026</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P060262|I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P060272|I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P060282|I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P060292|I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P060302|I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Donutz</t>
        </is>
      </c>
      <c r="L66" s="2" t="inlineStr">
        <is>
          <t>Ident A + Ident B + Foreign matter</t>
        </is>
      </c>
      <c r="M66" s="6" t="inlineStr">
        <is>
          <t>—</t>
        </is>
      </c>
      <c r="N66" s="2">
        <f>IFERROR(INDEX('CoQ Register'!$B:$B,MATCH("P060312|I",'CoQ Register'!$S:$S,0)),"—")</f>
        <v/>
      </c>
      <c r="O66" s="6" t="inlineStr">
        <is>
          <t>—</t>
        </is>
      </c>
      <c r="P66" s="2" t="inlineStr">
        <is>
          <t>P060312|I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CC012601/1</t>
        </is>
      </c>
      <c r="J67" s="2" t="inlineStr">
        <is>
          <t>P060332</t>
        </is>
      </c>
      <c r="K67" s="2" t="inlineStr"/>
      <c r="L67" s="2" t="inlineStr">
        <is>
          <t>Ident A + Ident B + Foreign matter</t>
        </is>
      </c>
      <c r="M67" s="6" t="inlineStr">
        <is>
          <t>—</t>
        </is>
      </c>
      <c r="N67" s="2">
        <f>IFERROR(INDEX('CoQ Register'!$B:$B,MATCH("P060332|I",'CoQ Register'!$S:$S,0)),"—")</f>
        <v/>
      </c>
      <c r="O67" s="6" t="inlineStr">
        <is>
          <t>—</t>
        </is>
      </c>
      <c r="P67" s="2" t="inlineStr">
        <is>
          <t>P060332|I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FB012601_1</t>
        </is>
      </c>
      <c r="J68" s="2" t="inlineStr">
        <is>
          <t>P060322</t>
        </is>
      </c>
      <c r="K68" s="2" t="inlineStr">
        <is>
          <t>Fat Bastard</t>
        </is>
      </c>
      <c r="L68" s="2" t="inlineStr">
        <is>
          <t>Ident A + Ident B + Foreign matter</t>
        </is>
      </c>
      <c r="M68" s="6" t="inlineStr">
        <is>
          <t>—</t>
        </is>
      </c>
      <c r="N68" s="2">
        <f>IFERROR(INDEX('CoQ Register'!$B:$B,MATCH("P060322|I",'CoQ Register'!$S:$S,0)),"—")</f>
        <v/>
      </c>
      <c r="O68" s="2" t="inlineStr">
        <is>
          <t>iCoA-PP-2026-0019</t>
        </is>
      </c>
      <c r="P68" s="2" t="inlineStr">
        <is>
          <t>P060322|I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FB012602*</t>
        </is>
      </c>
      <c r="J69" s="2" t="inlineStr">
        <is>
          <t>P060352</t>
        </is>
      </c>
      <c r="K69" s="2" t="inlineStr">
        <is>
          <t>Fat Bastard</t>
        </is>
      </c>
      <c r="L69" s="2" t="inlineStr">
        <is>
          <t>Ident A + Ident B + Foreign matter</t>
        </is>
      </c>
      <c r="M69" s="6" t="inlineStr">
        <is>
          <t>—</t>
        </is>
      </c>
      <c r="N69" s="2">
        <f>IFERROR(INDEX('CoQ Register'!$B:$B,MATCH("P060352|I",'CoQ Register'!$S:$S,0)),"—")</f>
        <v/>
      </c>
      <c r="O69" s="2" t="inlineStr">
        <is>
          <t>iCoA-PP-2026-0021</t>
        </is>
      </c>
      <c r="P69" s="2" t="inlineStr">
        <is>
          <t>P060352|I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SCR012601* (from the list)</t>
        </is>
      </c>
      <c r="J70" s="2" t="inlineStr">
        <is>
          <t>P060342</t>
        </is>
      </c>
      <c r="K70" s="2" t="inlineStr">
        <is>
          <t>Scrambler</t>
        </is>
      </c>
      <c r="L70" s="2" t="inlineStr">
        <is>
          <t>Ident A + Ident B + Foreign matter</t>
        </is>
      </c>
      <c r="M70" s="6" t="inlineStr">
        <is>
          <t>—</t>
        </is>
      </c>
      <c r="N70" s="2">
        <f>IFERROR(INDEX('CoQ Register'!$B:$B,MATCH("P060342|I",'CoQ Register'!$S:$S,0)),"—")</f>
        <v/>
      </c>
      <c r="O70" s="6" t="inlineStr">
        <is>
          <t>—</t>
        </is>
      </c>
      <c r="P70" s="2" t="inlineStr">
        <is>
          <t>P060342|I</t>
        </is>
      </c>
      <c r="Q70" s="7" t="inlineStr">
        <is>
          <t>registered — first working day 5 days after packaging</t>
        </is>
      </c>
    </row>
    <row r="71">
      <c r="A71" s="2">
        <f>IF(C71="yes",COUNT(A$1:A70)+1,"")</f>
        <v/>
      </c>
      <c r="B71" s="3">
        <f>IF(A71&lt;&gt;"","iCoA-PP_26-"&amp;TEXT(A71,"000"),IF(C71="n/a","not needed","— at issue —"))</f>
        <v/>
      </c>
      <c r="C71" s="4" t="inlineStr">
        <is>
          <t>yes</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SCR012603</t>
        </is>
      </c>
      <c r="J71" s="2" t="inlineStr">
        <is>
          <t>P060382</t>
        </is>
      </c>
      <c r="K71" s="2" t="inlineStr">
        <is>
          <t>Scrambler</t>
        </is>
      </c>
      <c r="L71" s="2" t="inlineStr">
        <is>
          <t>Ident A + Ident B + Foreign matter</t>
        </is>
      </c>
      <c r="M71" s="6" t="inlineStr">
        <is>
          <t>—</t>
        </is>
      </c>
      <c r="N71" s="2">
        <f>IFERROR(INDEX('CoQ Register'!$B:$B,MATCH("P060382|I",'CoQ Register'!$S:$S,0)),"—")</f>
        <v/>
      </c>
      <c r="O71" s="2" t="inlineStr">
        <is>
          <t>iCoA-PP-2026-0026</t>
        </is>
      </c>
      <c r="P71" s="2" t="inlineStr">
        <is>
          <t>P060382|I</t>
        </is>
      </c>
      <c r="Q71" s="7" t="inlineStr">
        <is>
          <t>registered — first working day 5 days after packaging</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FB012603V</t>
        </is>
      </c>
      <c r="J72" s="2" t="inlineStr">
        <is>
          <t>P060392</t>
        </is>
      </c>
      <c r="K72" s="2" t="inlineStr">
        <is>
          <t>Fat Bastard</t>
        </is>
      </c>
      <c r="L72" s="2" t="inlineStr">
        <is>
          <t>— all three on the CNP certificate —</t>
        </is>
      </c>
      <c r="M72" s="2" t="inlineStr">
        <is>
          <t>A: ППК26110 / B: ППК26110 / FM: ППК26110</t>
        </is>
      </c>
      <c r="N72" s="2">
        <f>IFERROR(INDEX('CoQ Register'!$B:$B,MATCH("P060392|I",'CoQ Register'!$S:$S,0)),"—")</f>
        <v/>
      </c>
      <c r="O72" s="6" t="inlineStr">
        <is>
          <t>—</t>
        </is>
      </c>
      <c r="P72" s="2" t="inlineStr">
        <is>
          <t>P060392|I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P060362</t>
        </is>
      </c>
      <c r="K73" s="2" t="inlineStr"/>
      <c r="L73" s="2" t="inlineStr">
        <is>
          <t>— all three on the CNP certificate —</t>
        </is>
      </c>
      <c r="M73" s="2" t="inlineStr">
        <is>
          <t>A: ППК26111 / B: ППК26111 / FM: ППК26111</t>
        </is>
      </c>
      <c r="N73" s="2">
        <f>IFERROR(INDEX('CoQ Register'!$B:$B,MATCH("P060362|I",'CoQ Register'!$S:$S,0)),"—")</f>
        <v/>
      </c>
      <c r="O73" s="2" t="inlineStr">
        <is>
          <t>iCoA-PP-2026-0020</t>
        </is>
      </c>
      <c r="P73" s="2" t="inlineStr">
        <is>
          <t>P060362|I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JD012603</t>
        </is>
      </c>
      <c r="J74" s="2" t="inlineStr">
        <is>
          <t>P060422</t>
        </is>
      </c>
      <c r="K74" s="2" t="inlineStr"/>
      <c r="L74" s="2" t="inlineStr">
        <is>
          <t>— all three on the CNP certificate —</t>
        </is>
      </c>
      <c r="M74" s="2" t="inlineStr">
        <is>
          <t>A: ППК26111 / B: ППК26111 / FM: ППК26111</t>
        </is>
      </c>
      <c r="N74" s="2">
        <f>IFERROR(INDEX('CoQ Register'!$B:$B,MATCH("P060422|I",'CoQ Register'!$S:$S,0)),"—")</f>
        <v/>
      </c>
      <c r="O74" s="2" t="inlineStr">
        <is>
          <t>iCoA-PP-2026-0022</t>
        </is>
      </c>
      <c r="P74" s="2" t="inlineStr">
        <is>
          <t>P060422|I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GG012603</t>
        </is>
      </c>
      <c r="J75" s="2" t="inlineStr">
        <is>
          <t>P060402</t>
        </is>
      </c>
      <c r="K75" s="2" t="inlineStr">
        <is>
          <t>GorillaGlue</t>
        </is>
      </c>
      <c r="L75" s="2" t="inlineStr">
        <is>
          <t>— all three on the CNP certificate —</t>
        </is>
      </c>
      <c r="M75" s="2" t="inlineStr">
        <is>
          <t>A: ППК26114 / B: ППК26114 / FM: ППК26114</t>
        </is>
      </c>
      <c r="N75" s="2">
        <f>IFERROR(INDEX('CoQ Register'!$B:$B,MATCH("P060402|I",'CoQ Register'!$S:$S,0)),"—")</f>
        <v/>
      </c>
      <c r="O75" s="2" t="inlineStr">
        <is>
          <t>iCoA-PP-2026-0023</t>
        </is>
      </c>
      <c r="P75" s="2" t="inlineStr">
        <is>
          <t>P060402|I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JD012603</t>
        </is>
      </c>
      <c r="J76" s="2" t="inlineStr">
        <is>
          <t>P060412</t>
        </is>
      </c>
      <c r="K76" s="2" t="inlineStr"/>
      <c r="L76" s="2" t="inlineStr">
        <is>
          <t>— all three on the CNP certificate —</t>
        </is>
      </c>
      <c r="M76" s="2" t="inlineStr">
        <is>
          <t>A: ППК26111 / B: ППК26111 / FM: ППК26111</t>
        </is>
      </c>
      <c r="N76" s="2">
        <f>IFERROR(INDEX('CoQ Register'!$B:$B,MATCH("P060412|I",'CoQ Register'!$S:$S,0)),"—")</f>
        <v/>
      </c>
      <c r="O76" s="2" t="inlineStr">
        <is>
          <t>iCoA-PP-2026-0025</t>
        </is>
      </c>
      <c r="P76" s="2" t="inlineStr">
        <is>
          <t>P060412|I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FB012603</t>
        </is>
      </c>
      <c r="J77" s="2" t="inlineStr">
        <is>
          <t>P060432</t>
        </is>
      </c>
      <c r="K77" s="2" t="inlineStr">
        <is>
          <t>Fat Bastard</t>
        </is>
      </c>
      <c r="L77" s="2" t="inlineStr">
        <is>
          <t>— all three on the CNP certificate —</t>
        </is>
      </c>
      <c r="M77" s="2" t="inlineStr">
        <is>
          <t>A: ППК26112 / B: ППК26112 / FM: ППК26112</t>
        </is>
      </c>
      <c r="N77" s="2">
        <f>IFERROR(INDEX('CoQ Register'!$B:$B,MATCH("P060432|I",'CoQ Register'!$S:$S,0)),"—")</f>
        <v/>
      </c>
      <c r="O77" s="6" t="inlineStr">
        <is>
          <t>—</t>
        </is>
      </c>
      <c r="P77" s="2" t="inlineStr">
        <is>
          <t>P060432|I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SCR022601</t>
        </is>
      </c>
      <c r="J78" s="2" t="inlineStr">
        <is>
          <t>P060442</t>
        </is>
      </c>
      <c r="K78" s="2" t="inlineStr">
        <is>
          <t>Scrambler</t>
        </is>
      </c>
      <c r="L78" s="2" t="inlineStr">
        <is>
          <t>— all three on the CNP certificate —</t>
        </is>
      </c>
      <c r="M78" s="2" t="inlineStr">
        <is>
          <t>A: ППК26116 / B: ППК26116 / FM: ППК26116</t>
        </is>
      </c>
      <c r="N78" s="2">
        <f>IFERROR(INDEX('CoQ Register'!$B:$B,MATCH("P060442|I",'CoQ Register'!$S:$S,0)),"—")</f>
        <v/>
      </c>
      <c r="O78" s="6" t="inlineStr">
        <is>
          <t>—</t>
        </is>
      </c>
      <c r="P78" s="2" t="inlineStr">
        <is>
          <t>P060442|I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FB032601</t>
        </is>
      </c>
      <c r="J79" s="2" t="inlineStr">
        <is>
          <t>P060452</t>
        </is>
      </c>
      <c r="K79" s="2" t="inlineStr">
        <is>
          <t>FatBastard</t>
        </is>
      </c>
      <c r="L79" s="2" t="inlineStr">
        <is>
          <t>— all three on the CNP certificate —</t>
        </is>
      </c>
      <c r="M79" s="2" t="inlineStr">
        <is>
          <t>A: ППК26127 / B: ППК26127 / FM: ППК26127</t>
        </is>
      </c>
      <c r="N79" s="2">
        <f>IFERROR(INDEX('CoQ Register'!$B:$B,MATCH("P060452|I",'CoQ Register'!$S:$S,0)),"—")</f>
        <v/>
      </c>
      <c r="O79" s="6" t="inlineStr">
        <is>
          <t>—</t>
        </is>
      </c>
      <c r="P79" s="2" t="inlineStr">
        <is>
          <t>P060452|I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GG032601</t>
        </is>
      </c>
      <c r="J80" s="2" t="inlineStr">
        <is>
          <t>P060462</t>
        </is>
      </c>
      <c r="K80" s="2" t="inlineStr">
        <is>
          <t>GorillaGlue</t>
        </is>
      </c>
      <c r="L80" s="2" t="inlineStr">
        <is>
          <t>— all three on the CNP certificate —</t>
        </is>
      </c>
      <c r="M80" s="2" t="inlineStr">
        <is>
          <t>A: ППК26128 / B: ППК26128 / FM: ППК26128</t>
        </is>
      </c>
      <c r="N80" s="2">
        <f>IFERROR(INDEX('CoQ Register'!$B:$B,MATCH("P060462|I",'CoQ Register'!$S:$S,0)),"—")</f>
        <v/>
      </c>
      <c r="O80" s="6" t="inlineStr">
        <is>
          <t>—</t>
        </is>
      </c>
      <c r="P80" s="2" t="inlineStr">
        <is>
          <t>P060462|I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JD022601</t>
        </is>
      </c>
      <c r="J81" s="2" t="inlineStr">
        <is>
          <t>P060482</t>
        </is>
      </c>
      <c r="K81" s="2" t="inlineStr">
        <is>
          <t>JellyDonutz</t>
        </is>
      </c>
      <c r="L81" s="2" t="inlineStr">
        <is>
          <t>— all three on the CNP certificate —</t>
        </is>
      </c>
      <c r="M81" s="2" t="inlineStr">
        <is>
          <t>A: ППК26115 / B: ППК26115 / FM: ППК26115</t>
        </is>
      </c>
      <c r="N81" s="2">
        <f>IFERROR(INDEX('CoQ Register'!$B:$B,MATCH("P060482|I",'CoQ Register'!$S:$S,0)),"—")</f>
        <v/>
      </c>
      <c r="O81" s="6" t="inlineStr">
        <is>
          <t>—</t>
        </is>
      </c>
      <c r="P81" s="2" t="inlineStr">
        <is>
          <t>P060482|I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P160012</t>
        </is>
      </c>
      <c r="K82" s="2" t="inlineStr"/>
      <c r="L82" s="2" t="inlineStr">
        <is>
          <t>— all three on the CNP certificate —</t>
        </is>
      </c>
      <c r="M82" s="2" t="inlineStr">
        <is>
          <t>A: ППК26117 / B: ППК26117 / FM: ППК26117</t>
        </is>
      </c>
      <c r="N82" s="2">
        <f>IFERROR(INDEX('CoQ Register'!$B:$B,MATCH("— not recorded —|I",'CoQ Register'!$S:$S,0)),"—")</f>
        <v/>
      </c>
      <c r="O82" s="6" t="inlineStr">
        <is>
          <t>—</t>
        </is>
      </c>
      <c r="P82" s="2" t="inlineStr">
        <is>
          <t>— not recorded —|I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P160022</t>
        </is>
      </c>
      <c r="K83" s="2" t="inlineStr"/>
      <c r="L83" s="2" t="inlineStr">
        <is>
          <t>— all three on the CNP certificate —</t>
        </is>
      </c>
      <c r="M83" s="2" t="inlineStr">
        <is>
          <t>A: ППК26118 / B: ППК26118 / FM: ППК26118</t>
        </is>
      </c>
      <c r="N83" s="2">
        <f>IFERROR(INDEX('CoQ Register'!$B:$B,MATCH("— not recorded —|I",'CoQ Register'!$S:$S,0)),"—")</f>
        <v/>
      </c>
      <c r="O83" s="6" t="inlineStr">
        <is>
          <t>—</t>
        </is>
      </c>
      <c r="P83" s="2" t="inlineStr">
        <is>
          <t>— not recorded —|I</t>
        </is>
      </c>
      <c r="Q83" s="8" t="inlineStr">
        <is>
          <t>not needed — CNP covers A, B and foreign matter</t>
        </is>
      </c>
    </row>
    <row r="84">
      <c r="A84" s="2">
        <f>IF(C84="yes",COUNT(A$1:A83)+1,"")</f>
        <v/>
      </c>
      <c r="B84" s="3">
        <f>IF(A84&lt;&gt;"","iCoA-PP_26-"&amp;TEXT(A84,"000"),IF(C84="n/a","not needed","— at issue —"))</f>
        <v/>
      </c>
      <c r="C84" s="2" t="inlineStr">
        <is>
          <t>n/a</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 not recorded —</t>
        </is>
      </c>
      <c r="J84" s="2" t="inlineStr">
        <is>
          <t>P160032</t>
        </is>
      </c>
      <c r="K84" s="2" t="inlineStr"/>
      <c r="L84" s="2" t="inlineStr">
        <is>
          <t>— all three on the CNP certificate —</t>
        </is>
      </c>
      <c r="M84" s="2" t="inlineStr">
        <is>
          <t>A: ППК26119 / B: ППК26119 / FM: ППК26119</t>
        </is>
      </c>
      <c r="N84" s="2">
        <f>IFERROR(INDEX('CoQ Register'!$B:$B,MATCH("— not recorded —|I",'CoQ Register'!$S:$S,0)),"—")</f>
        <v/>
      </c>
      <c r="O84" s="6" t="inlineStr">
        <is>
          <t>—</t>
        </is>
      </c>
      <c r="P84" s="2" t="inlineStr">
        <is>
          <t>— not recorded —|I</t>
        </is>
      </c>
      <c r="Q84" s="8" t="inlineStr">
        <is>
          <t>not needed — CNP covers A, B and foreign matter</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legacy</t>
        </is>
      </c>
      <c r="H143" s="2" t="inlineStr">
        <is>
          <t>retest — not yet sampled</t>
        </is>
      </c>
      <c r="I143" s="3" t="inlineStr">
        <is>
          <t>JD112501＊</t>
        </is>
      </c>
      <c r="J143" s="2" t="inlineStr">
        <is>
          <t>P060212</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 (from the list)</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 (from the list)</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46153</v>
      </c>
      <c r="G56" s="2" t="inlineStr">
        <is>
          <t>ППК26065</t>
        </is>
      </c>
      <c r="H56" s="2">
        <f>IFERROR(INDEX('iCoA Register'!$B:$B,MATCH("JD112501|I",'iCoA Register'!$P:$P,0)),"—")</f>
        <v/>
      </c>
      <c r="I56" s="5">
        <f>IFERROR(INDEX('iCoA Register'!$D:$D,MATCH("JD112501|I",'iCoA Register'!$P:$P,0)),"")</f>
        <v/>
      </c>
      <c r="J56" s="2" t="inlineStr">
        <is>
          <t>legacy</t>
        </is>
      </c>
      <c r="K56" s="2" t="inlineStr">
        <is>
          <t>initial release</t>
        </is>
      </c>
      <c r="L56" s="3" t="inlineStr">
        <is>
          <t>JD112501＊</t>
        </is>
      </c>
      <c r="M56" s="2" t="inlineStr">
        <is>
          <t>P060212</t>
        </is>
      </c>
      <c r="N56" s="2" t="inlineStr">
        <is>
          <t>Jelly Donutz</t>
        </is>
      </c>
      <c r="O56" s="2" t="inlineStr">
        <is>
          <t>ППК26065, (11.05.2026) [CNP]</t>
        </is>
      </c>
      <c r="P56" s="6" t="inlineStr">
        <is>
          <t>—</t>
        </is>
      </c>
      <c r="Q56" s="2" t="inlineStr">
        <is>
          <t>—</t>
        </is>
      </c>
      <c r="R56" s="2" t="inlineStr">
        <is>
          <t>CoQ-PP-2026-0015</t>
        </is>
      </c>
      <c r="S56" s="2" t="inlineStr">
        <is>
          <t>JD112501|I</t>
        </is>
      </c>
      <c r="T56" s="7" t="inlineStr">
        <is>
          <t>registered — legacy series, issued 27.05.2026</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ППК26031</t>
        </is>
      </c>
      <c r="H57" s="2">
        <f>IFERROR(INDEX('iCoA Register'!$B:$B,MATCH("P060222|I",'iCoA Register'!$P:$P,0)),"—")</f>
        <v/>
      </c>
      <c r="I57" s="5">
        <f>IFERROR(INDEX('iCoA Register'!$D:$D,MATCH("P060222|I",'iCoA Register'!$P:$P,0)),"")</f>
        <v/>
      </c>
      <c r="J57" s="2" t="inlineStr">
        <is>
          <t>legacy</t>
        </is>
      </c>
      <c r="K57" s="2" t="inlineStr">
        <is>
          <t>initial release</t>
        </is>
      </c>
      <c r="L57" s="3" t="inlineStr">
        <is>
          <t>OPM112501</t>
        </is>
      </c>
      <c r="M57" s="2" t="inlineStr">
        <is>
          <t>P060222</t>
        </is>
      </c>
      <c r="N57" s="2" t="inlineStr">
        <is>
          <t>Orange Punch Mimosa</t>
        </is>
      </c>
      <c r="O57" s="2" t="inlineStr">
        <is>
          <t>ППК26031, (05.03.2026) [CNP]</t>
        </is>
      </c>
      <c r="P57" s="6" t="inlineStr">
        <is>
          <t>—</t>
        </is>
      </c>
      <c r="Q57" s="2" t="inlineStr">
        <is>
          <t>—</t>
        </is>
      </c>
      <c r="R57" s="2" t="inlineStr">
        <is>
          <t>(assigned on issue)</t>
        </is>
      </c>
      <c r="S57" s="2" t="inlineStr">
        <is>
          <t>P060222|I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46086</v>
      </c>
      <c r="G58" s="2" t="inlineStr">
        <is>
          <t>ППК26030</t>
        </is>
      </c>
      <c r="H58" s="2">
        <f>IFERROR(INDEX('iCoA Register'!$B:$B,MATCH("P060232|I",'iCoA Register'!$P:$P,0)),"—")</f>
        <v/>
      </c>
      <c r="I58" s="5">
        <f>IFERROR(INDEX('iCoA Register'!$D:$D,MATCH("P060232|I",'iCoA Register'!$P:$P,0)),"")</f>
        <v/>
      </c>
      <c r="J58" s="2" t="inlineStr">
        <is>
          <t>legacy</t>
        </is>
      </c>
      <c r="K58" s="2" t="inlineStr">
        <is>
          <t>initial release</t>
        </is>
      </c>
      <c r="L58" s="3" t="inlineStr">
        <is>
          <t>PM112501</t>
        </is>
      </c>
      <c r="M58" s="2" t="inlineStr">
        <is>
          <t>P060232</t>
        </is>
      </c>
      <c r="N58" s="2" t="inlineStr">
        <is>
          <t>Permanent Market</t>
        </is>
      </c>
      <c r="O58" s="2" t="inlineStr">
        <is>
          <t>ППК26030, (05.03.2026) [CNP]</t>
        </is>
      </c>
      <c r="P58" s="6" t="inlineStr">
        <is>
          <t>—</t>
        </is>
      </c>
      <c r="Q58" s="2" t="inlineStr">
        <is>
          <t>—</t>
        </is>
      </c>
      <c r="R58" s="2" t="inlineStr">
        <is>
          <t>CoQ-PP-2026-0016</t>
        </is>
      </c>
      <c r="S58" s="2" t="inlineStr">
        <is>
          <t>P060232|I</t>
        </is>
      </c>
      <c r="T58" s="7" t="inlineStr">
        <is>
          <t>registered — legacy series, issued 27.05.2026 · initial certificate to locate: #9 (IJZ), #10 (CNP), #11 (CNP), #12 (CNP)</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46135</v>
      </c>
      <c r="G59" s="2" t="inlineStr">
        <is>
          <t>1627-2026</t>
        </is>
      </c>
      <c r="H59" s="2">
        <f>IFERROR(INDEX('iCoA Register'!$B:$B,MATCH("P060242|I",'iCoA Register'!$P:$P,0)),"—")</f>
        <v/>
      </c>
      <c r="I59" s="5">
        <f>IFERROR(INDEX('iCoA Register'!$D:$D,MATCH("P060242|I",'iCoA Register'!$P:$P,0)),"")</f>
        <v/>
      </c>
      <c r="J59" s="2" t="inlineStr">
        <is>
          <t>legacy</t>
        </is>
      </c>
      <c r="K59" s="2" t="inlineStr">
        <is>
          <t>initial release</t>
        </is>
      </c>
      <c r="L59" s="3" t="inlineStr">
        <is>
          <t>OPM122501</t>
        </is>
      </c>
      <c r="M59" s="2" t="inlineStr">
        <is>
          <t>P060242</t>
        </is>
      </c>
      <c r="N59" s="2" t="inlineStr">
        <is>
          <t>Orange Punch Mimosa</t>
        </is>
      </c>
      <c r="O59" s="2" t="inlineStr">
        <is>
          <t>100-4-K-26, (09.04.2026) [FHM-K]</t>
        </is>
      </c>
      <c r="P59" s="6" t="inlineStr">
        <is>
          <t>—</t>
        </is>
      </c>
      <c r="Q59" s="2" t="inlineStr">
        <is>
          <t>—</t>
        </is>
      </c>
      <c r="R59" s="2" t="inlineStr">
        <is>
          <t>CoQ-PP-2026-0017</t>
        </is>
      </c>
      <c r="S59" s="2" t="inlineStr">
        <is>
          <t>P060242|I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46153</v>
      </c>
      <c r="G60" s="2" t="inlineStr">
        <is>
          <t>ППК26061</t>
        </is>
      </c>
      <c r="H60" s="2">
        <f>IFERROR(INDEX('iCoA Register'!$B:$B,MATCH("P060252|I",'iCoA Register'!$P:$P,0)),"—")</f>
        <v/>
      </c>
      <c r="I60" s="5">
        <f>IFERROR(INDEX('iCoA Register'!$D:$D,MATCH("P060252|I",'iCoA Register'!$P:$P,0)),"")</f>
        <v/>
      </c>
      <c r="J60" s="2" t="inlineStr">
        <is>
          <t>legacy</t>
        </is>
      </c>
      <c r="K60" s="2" t="inlineStr">
        <is>
          <t>initial release</t>
        </is>
      </c>
      <c r="L60" s="3" t="inlineStr">
        <is>
          <t>GG112501</t>
        </is>
      </c>
      <c r="M60" s="2" t="inlineStr">
        <is>
          <t>P060252</t>
        </is>
      </c>
      <c r="N60" s="2" t="inlineStr">
        <is>
          <t>Gorilla Glue</t>
        </is>
      </c>
      <c r="O60" s="2" t="inlineStr">
        <is>
          <t>ППК26061, (11.05.2026) [CNP]</t>
        </is>
      </c>
      <c r="P60" s="6" t="inlineStr">
        <is>
          <t>—</t>
        </is>
      </c>
      <c r="Q60" s="2" t="inlineStr">
        <is>
          <t>—</t>
        </is>
      </c>
      <c r="R60" s="2" t="inlineStr">
        <is>
          <t>(assigned on issue)</t>
        </is>
      </c>
      <c r="S60" s="2" t="inlineStr">
        <is>
          <t>P060252|I</t>
        </is>
      </c>
      <c r="T60" s="7" t="inlineStr">
        <is>
          <t>registered — legacy series, issued 27.05.2026</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46135</v>
      </c>
      <c r="G61" s="2" t="inlineStr">
        <is>
          <t>1625-2026</t>
        </is>
      </c>
      <c r="H61" s="2">
        <f>IFERROR(INDEX('iCoA Register'!$B:$B,MATCH("P060262|I",'iCoA Register'!$P:$P,0)),"—")</f>
        <v/>
      </c>
      <c r="I61" s="5">
        <f>IFERROR(INDEX('iCoA Register'!$D:$D,MATCH("P060262|I",'iCoA Register'!$P:$P,0)),"")</f>
        <v/>
      </c>
      <c r="J61" s="2" t="inlineStr">
        <is>
          <t>post-SOP</t>
        </is>
      </c>
      <c r="K61" s="2" t="inlineStr">
        <is>
          <t>initial release</t>
        </is>
      </c>
      <c r="L61" s="3" t="inlineStr">
        <is>
          <t>J31122501</t>
        </is>
      </c>
      <c r="M61" s="2" t="inlineStr">
        <is>
          <t>P060262</t>
        </is>
      </c>
      <c r="N61" s="2" t="inlineStr">
        <is>
          <t>Jokerz 31</t>
        </is>
      </c>
      <c r="O61" s="2" t="inlineStr">
        <is>
          <t>100-2-K-26, (09.04.2026) [FHM-K]</t>
        </is>
      </c>
      <c r="P61" s="6" t="inlineStr">
        <is>
          <t>—</t>
        </is>
      </c>
      <c r="Q61" s="2" t="inlineStr">
        <is>
          <t>—</t>
        </is>
      </c>
      <c r="R61" s="2" t="inlineStr">
        <is>
          <t>(assigned on issue)</t>
        </is>
      </c>
      <c r="S61" s="2" t="inlineStr">
        <is>
          <t>P060262|I</t>
        </is>
      </c>
      <c r="T61" s="7" t="inlineStr">
        <is>
          <t>registered — rule date 30.04.2026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ППК26068</t>
        </is>
      </c>
      <c r="H62" s="2">
        <f>IFERROR(INDEX('iCoA Register'!$B:$B,MATCH("P060272|I",'iCoA Register'!$P:$P,0)),"—")</f>
        <v/>
      </c>
      <c r="I62" s="5">
        <f>IFERROR(INDEX('iCoA Register'!$D:$D,MATCH("P060272|I",'iCoA Register'!$P:$P,0)),"")</f>
        <v/>
      </c>
      <c r="J62" s="2" t="inlineStr">
        <is>
          <t>post-SOP</t>
        </is>
      </c>
      <c r="K62" s="2" t="inlineStr">
        <is>
          <t>initial release</t>
        </is>
      </c>
      <c r="L62" s="3" t="inlineStr">
        <is>
          <t>CC112501</t>
        </is>
      </c>
      <c r="M62" s="2" t="inlineStr">
        <is>
          <t>P060272</t>
        </is>
      </c>
      <c r="N62" s="2" t="inlineStr">
        <is>
          <t>Cash Cow</t>
        </is>
      </c>
      <c r="O62" s="2" t="inlineStr">
        <is>
          <t>ППК26068, (11.05.2026) [CNP]</t>
        </is>
      </c>
      <c r="P62" s="6" t="inlineStr">
        <is>
          <t>—</t>
        </is>
      </c>
      <c r="Q62" s="2" t="inlineStr">
        <is>
          <t>—</t>
        </is>
      </c>
      <c r="R62" s="2" t="inlineStr">
        <is>
          <t>(assigned on issue)</t>
        </is>
      </c>
      <c r="S62" s="2" t="inlineStr">
        <is>
          <t>P060272|I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ППК26069</t>
        </is>
      </c>
      <c r="H63" s="2">
        <f>IFERROR(INDEX('iCoA Register'!$B:$B,MATCH("P060282|I",'iCoA Register'!$P:$P,0)),"—")</f>
        <v/>
      </c>
      <c r="I63" s="5">
        <f>IFERROR(INDEX('iCoA Register'!$D:$D,MATCH("P060282|I",'iCoA Register'!$P:$P,0)),"")</f>
        <v/>
      </c>
      <c r="J63" s="2" t="inlineStr">
        <is>
          <t>post-SOP</t>
        </is>
      </c>
      <c r="K63" s="2" t="inlineStr">
        <is>
          <t>initial release</t>
        </is>
      </c>
      <c r="L63" s="3" t="inlineStr">
        <is>
          <t>SCR112501</t>
        </is>
      </c>
      <c r="M63" s="2" t="inlineStr">
        <is>
          <t>P060282</t>
        </is>
      </c>
      <c r="N63" s="2" t="inlineStr">
        <is>
          <t>Scrambler</t>
        </is>
      </c>
      <c r="O63" s="2" t="inlineStr">
        <is>
          <t>ППК26069, (11.05.2026) [CNP]</t>
        </is>
      </c>
      <c r="P63" s="6" t="inlineStr">
        <is>
          <t>—</t>
        </is>
      </c>
      <c r="Q63" s="2" t="inlineStr">
        <is>
          <t>—</t>
        </is>
      </c>
      <c r="R63" s="2" t="inlineStr">
        <is>
          <t>CoQ-PP-2026-0018</t>
        </is>
      </c>
      <c r="S63" s="2" t="inlineStr">
        <is>
          <t>P060282|I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ППК26066</t>
        </is>
      </c>
      <c r="H64" s="2">
        <f>IFERROR(INDEX('iCoA Register'!$B:$B,MATCH("P060292|I",'iCoA Register'!$P:$P,0)),"—")</f>
        <v/>
      </c>
      <c r="I64" s="5">
        <f>IFERROR(INDEX('iCoA Register'!$D:$D,MATCH("P060292|I",'iCoA Register'!$P:$P,0)),"")</f>
        <v/>
      </c>
      <c r="J64" s="2" t="inlineStr">
        <is>
          <t>post-SOP</t>
        </is>
      </c>
      <c r="K64" s="2" t="inlineStr">
        <is>
          <t>initial release</t>
        </is>
      </c>
      <c r="L64" s="3" t="inlineStr">
        <is>
          <t>FB112501</t>
        </is>
      </c>
      <c r="M64" s="2" t="inlineStr">
        <is>
          <t>P060292</t>
        </is>
      </c>
      <c r="N64" s="2" t="inlineStr">
        <is>
          <t>Fat Bastard</t>
        </is>
      </c>
      <c r="O64" s="2" t="inlineStr">
        <is>
          <t>ППК26066, (11.05.2026) [CNP]</t>
        </is>
      </c>
      <c r="P64" s="6" t="inlineStr">
        <is>
          <t>—</t>
        </is>
      </c>
      <c r="Q64" s="2" t="inlineStr">
        <is>
          <t>—</t>
        </is>
      </c>
      <c r="R64" s="2" t="inlineStr">
        <is>
          <t>(assigned on issue)</t>
        </is>
      </c>
      <c r="S64" s="2" t="inlineStr">
        <is>
          <t>P060292|I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ППК26062</t>
        </is>
      </c>
      <c r="H65" s="2">
        <f>IFERROR(INDEX('iCoA Register'!$B:$B,MATCH("P060302|I",'iCoA Register'!$P:$P,0)),"—")</f>
        <v/>
      </c>
      <c r="I65" s="5">
        <f>IFERROR(INDEX('iCoA Register'!$D:$D,MATCH("P060302|I",'iCoA Register'!$P:$P,0)),"")</f>
        <v/>
      </c>
      <c r="J65" s="2" t="inlineStr">
        <is>
          <t>post-SOP</t>
        </is>
      </c>
      <c r="K65" s="2" t="inlineStr">
        <is>
          <t>initial release</t>
        </is>
      </c>
      <c r="L65" s="3" t="inlineStr">
        <is>
          <t>GG012601＊</t>
        </is>
      </c>
      <c r="M65" s="2" t="inlineStr">
        <is>
          <t>P060302</t>
        </is>
      </c>
      <c r="N65" s="2" t="inlineStr">
        <is>
          <t>Gorilla Glue</t>
        </is>
      </c>
      <c r="O65" s="2" t="inlineStr">
        <is>
          <t>ППК26062, (11.05.2026) [CNP]</t>
        </is>
      </c>
      <c r="P65" s="6" t="inlineStr">
        <is>
          <t>—</t>
        </is>
      </c>
      <c r="Q65" s="2" t="inlineStr">
        <is>
          <t>—</t>
        </is>
      </c>
      <c r="R65" s="2" t="inlineStr">
        <is>
          <t>(assigned on issue)</t>
        </is>
      </c>
      <c r="S65" s="2" t="inlineStr">
        <is>
          <t>P060302|I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n">
        <v>46153</v>
      </c>
      <c r="G66" s="2" t="inlineStr">
        <is>
          <t>ППК26064</t>
        </is>
      </c>
      <c r="H66" s="2">
        <f>IFERROR(INDEX('iCoA Register'!$B:$B,MATCH("P060312|I",'iCoA Register'!$P:$P,0)),"—")</f>
        <v/>
      </c>
      <c r="I66" s="5">
        <f>IFERROR(INDEX('iCoA Register'!$D:$D,MATCH("P060312|I",'iCoA Register'!$P:$P,0)),"")</f>
        <v/>
      </c>
      <c r="J66" s="2" t="inlineStr">
        <is>
          <t>post-SOP</t>
        </is>
      </c>
      <c r="K66" s="2" t="inlineStr">
        <is>
          <t>initial release</t>
        </is>
      </c>
      <c r="L66" s="3" t="inlineStr">
        <is>
          <t>JD012601＊</t>
        </is>
      </c>
      <c r="M66" s="2" t="inlineStr">
        <is>
          <t>P060312</t>
        </is>
      </c>
      <c r="N66" s="2" t="inlineStr">
        <is>
          <t>Jelly Donutz</t>
        </is>
      </c>
      <c r="O66" s="2" t="inlineStr">
        <is>
          <t>ППК26064, (11.05.2026) [CNP]</t>
        </is>
      </c>
      <c r="P66" s="6" t="inlineStr">
        <is>
          <t>—</t>
        </is>
      </c>
      <c r="Q66" s="2" t="inlineStr">
        <is>
          <t>—</t>
        </is>
      </c>
      <c r="R66" s="2" t="inlineStr">
        <is>
          <t>(assigned on issue)</t>
        </is>
      </c>
      <c r="S66" s="2" t="inlineStr">
        <is>
          <t>P060312|I</t>
        </is>
      </c>
      <c r="T66" s="7" t="inlineStr">
        <is>
          <t>registered — rule date 18.05.2026 held to the legacy series day</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inlineStr">
        <is>
          <t>—</t>
        </is>
      </c>
      <c r="G67" s="2" t="inlineStr">
        <is>
          <t>—</t>
        </is>
      </c>
      <c r="H67" s="2">
        <f>IFERROR(INDEX('iCoA Register'!$B:$B,MATCH("P060332|I",'iCoA Register'!$P:$P,0)),"—")</f>
        <v/>
      </c>
      <c r="I67" s="5">
        <f>IFERROR(INDEX('iCoA Register'!$D:$D,MATCH("P060332|I",'iCoA Register'!$P:$P,0)),"")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 not in the issuance plan —</t>
        </is>
      </c>
      <c r="S67" s="2" t="inlineStr">
        <is>
          <t>P060332|I</t>
        </is>
      </c>
      <c r="T67" s="7" t="inlineStr">
        <is>
          <t>registered — provisional date: no initial certificate on file yet — the date follows the latest eCoA once located · initial certificate to locate: #3 (CNP), #4 (CNP), #5 (CNP), #6 (CNP), #8 (CNP), #9 (IJZ), #10 (CNP), #11 (CNP), #12 (CNP)</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n">
        <v>46153</v>
      </c>
      <c r="G68" s="2" t="inlineStr">
        <is>
          <t>ППК26067</t>
        </is>
      </c>
      <c r="H68" s="2">
        <f>IFERROR(INDEX('iCoA Register'!$B:$B,MATCH("P060322|I",'iCoA Register'!$P:$P,0)),"—")</f>
        <v/>
      </c>
      <c r="I68" s="5">
        <f>IFERROR(INDEX('iCoA Register'!$D:$D,MATCH("P060322|I",'iCoA Register'!$P:$P,0)),"")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Register'!$B:$B,MATCH("P060352|I",'iCoA Register'!$P:$P,0)),"—")</f>
        <v/>
      </c>
      <c r="I69" s="5">
        <f>IFERROR(INDEX('iCoA Register'!$D:$D,MATCH("P060352|I",'iCoA Register'!$P:$P,0)),"")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Register'!$B:$B,MATCH("P060342|I",'iCoA Register'!$P:$P,0)),"—")</f>
        <v/>
      </c>
      <c r="I70" s="5">
        <f>IFERROR(INDEX('iCoA Register'!$D:$D,MATCH("P060342|I",'iCoA Register'!$P:$P,0)),"")</f>
        <v/>
      </c>
      <c r="J70" s="2" t="inlineStr">
        <is>
          <t>post-SOP</t>
        </is>
      </c>
      <c r="K70" s="2" t="inlineStr">
        <is>
          <t>initial release</t>
        </is>
      </c>
      <c r="L70" s="3" t="inlineStr">
        <is>
          <t>SCR012601* (from the list)</t>
        </is>
      </c>
      <c r="M70" s="2" t="inlineStr">
        <is>
          <t>P060342</t>
        </is>
      </c>
      <c r="N70" s="2" t="inlineStr">
        <is>
          <t>Scrambler</t>
        </is>
      </c>
      <c r="O70" s="6" t="inlineStr">
        <is>
          <t>— no cannabinoid certificate from the initial testing —</t>
        </is>
      </c>
      <c r="P70" s="6" t="inlineStr">
        <is>
          <t>—</t>
        </is>
      </c>
      <c r="Q70" s="2" t="inlineStr">
        <is>
          <t>—</t>
        </is>
      </c>
      <c r="R70" s="2" t="inlineStr">
        <is>
          <t>— not in the issuance plan —</t>
        </is>
      </c>
      <c r="S70" s="2" t="inlineStr">
        <is>
          <t>P060342|I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inlineStr">
        <is>
          <t>—</t>
        </is>
      </c>
      <c r="G71" s="2" t="inlineStr">
        <is>
          <t>—</t>
        </is>
      </c>
      <c r="H71" s="2">
        <f>IFERROR(INDEX('iCoA Register'!$B:$B,MATCH("P060382|I",'iCoA Register'!$P:$P,0)),"—")</f>
        <v/>
      </c>
      <c r="I71" s="5">
        <f>IFERROR(INDEX('iCoA Register'!$D:$D,MATCH("P060382|I",'iCoA Register'!$P:$P,0)),"")</f>
        <v/>
      </c>
      <c r="J71" s="2" t="inlineStr">
        <is>
          <t>post-SOP</t>
        </is>
      </c>
      <c r="K71" s="2" t="inlineStr">
        <is>
          <t>initial release</t>
        </is>
      </c>
      <c r="L71" s="3" t="inlineStr">
        <is>
          <t>SCR012603</t>
        </is>
      </c>
      <c r="M71" s="2" t="inlineStr">
        <is>
          <t>P060382</t>
        </is>
      </c>
      <c r="N71" s="2" t="inlineStr">
        <is>
          <t>Scrambler</t>
        </is>
      </c>
      <c r="O71" s="6" t="inlineStr">
        <is>
          <t>— no cannabinoid certificate from the initial testing —</t>
        </is>
      </c>
      <c r="P71" s="6" t="inlineStr">
        <is>
          <t>—</t>
        </is>
      </c>
      <c r="Q71" s="2" t="inlineStr">
        <is>
          <t>—</t>
        </is>
      </c>
      <c r="R71" s="2" t="inlineStr">
        <is>
          <t>CoQ-PP-2026-0026</t>
        </is>
      </c>
      <c r="S71" s="2" t="inlineStr">
        <is>
          <t>P060382|I</t>
        </is>
      </c>
      <c r="T71" s="7" t="inlineStr">
        <is>
          <t>registered — provisional date: no initial certificate on file yet — the date follows the latest eCoA once located · initial certificate to locate: #3 (CNP), #4 (CNP), #5 (CNP), #6 (CNP), #8 (CNP),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ППК26110</t>
        </is>
      </c>
      <c r="H72" s="2">
        <f>IFERROR(INDEX('iCoA Register'!$B:$B,MATCH("P060392|I",'iCoA Register'!$P:$P,0)),"—")</f>
        <v/>
      </c>
      <c r="I72" s="5">
        <f>IFERROR(INDEX('iCoA Register'!$D:$D,MATCH("P060392|I",'iCoA Register'!$P:$P,0)),"")</f>
        <v/>
      </c>
      <c r="J72" s="2" t="inlineStr">
        <is>
          <t>post-SOP</t>
        </is>
      </c>
      <c r="K72" s="2" t="inlineStr">
        <is>
          <t>initial release</t>
        </is>
      </c>
      <c r="L72" s="3" t="inlineStr">
        <is>
          <t>FB012603V</t>
        </is>
      </c>
      <c r="M72" s="2" t="inlineStr">
        <is>
          <t>P060392</t>
        </is>
      </c>
      <c r="N72" s="2" t="inlineStr">
        <is>
          <t>Fat Bastard</t>
        </is>
      </c>
      <c r="O72" s="2" t="inlineStr">
        <is>
          <t>ППК26110, (30.06.2026) [CNP]</t>
        </is>
      </c>
      <c r="P72" s="2" t="inlineStr">
        <is>
          <t>A: ППК26110 / B: ППК26110 / FM: ППК26110</t>
        </is>
      </c>
      <c r="Q72" s="2" t="inlineStr">
        <is>
          <t>—</t>
        </is>
      </c>
      <c r="R72" s="2" t="inlineStr">
        <is>
          <t>(assigned on issue)</t>
        </is>
      </c>
      <c r="S72" s="2" t="inlineStr">
        <is>
          <t>P060392|I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Register'!$B:$B,MATCH("P060362|I",'iCoA Register'!$P:$P,0)),"—")</f>
        <v/>
      </c>
      <c r="I73" s="5">
        <f>IFERROR(INDEX('iCoA Register'!$D:$D,MATCH("P060362|I",'iCoA Register'!$P:$P,0)),"")</f>
        <v/>
      </c>
      <c r="J73" s="2" t="inlineStr">
        <is>
          <t>post-SOP</t>
        </is>
      </c>
      <c r="K73" s="2" t="inlineStr">
        <is>
          <t>initial release</t>
        </is>
      </c>
      <c r="L73" s="3" t="inlineStr">
        <is>
          <t>JD012603</t>
        </is>
      </c>
      <c r="M73" s="2" t="inlineStr">
        <is>
          <t>P060362</t>
        </is>
      </c>
      <c r="N73" s="2" t="inlineStr"/>
      <c r="O73" s="2" t="inlineStr">
        <is>
          <t>ППК26111, (30.06.2026) [CNP]</t>
        </is>
      </c>
      <c r="P73" s="2" t="inlineStr">
        <is>
          <t>A: ППК26111 / B: ППК26111 / FM: ППК26111</t>
        </is>
      </c>
      <c r="Q73" s="2" t="inlineStr">
        <is>
          <t>—</t>
        </is>
      </c>
      <c r="R73" s="2" t="inlineStr">
        <is>
          <t>CoQ-PP-2026-0020</t>
        </is>
      </c>
      <c r="S73" s="2" t="inlineStr">
        <is>
          <t>P060362|I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ППК26111</t>
        </is>
      </c>
      <c r="H74" s="2">
        <f>IFERROR(INDEX('iCoA Register'!$B:$B,MATCH("P060422|I",'iCoA Register'!$P:$P,0)),"—")</f>
        <v/>
      </c>
      <c r="I74" s="5">
        <f>IFERROR(INDEX('iCoA Register'!$D:$D,MATCH("P060422|I",'iCoA Register'!$P:$P,0)),"")</f>
        <v/>
      </c>
      <c r="J74" s="2" t="inlineStr">
        <is>
          <t>post-SOP</t>
        </is>
      </c>
      <c r="K74" s="2" t="inlineStr">
        <is>
          <t>initial release</t>
        </is>
      </c>
      <c r="L74" s="3" t="inlineStr">
        <is>
          <t>JD012603</t>
        </is>
      </c>
      <c r="M74" s="2" t="inlineStr">
        <is>
          <t>P060422</t>
        </is>
      </c>
      <c r="N74" s="2" t="inlineStr"/>
      <c r="O74" s="2" t="inlineStr">
        <is>
          <t>ППК26111, (30.06.2026) [CNP]</t>
        </is>
      </c>
      <c r="P74" s="2" t="inlineStr">
        <is>
          <t>A: ППК26111 / B: ППК26111 / FM: ППК26111</t>
        </is>
      </c>
      <c r="Q74" s="2" t="inlineStr">
        <is>
          <t>—</t>
        </is>
      </c>
      <c r="R74" s="2" t="inlineStr">
        <is>
          <t>CoQ-PP-2026-0022</t>
        </is>
      </c>
      <c r="S74" s="2" t="inlineStr">
        <is>
          <t>P060422|I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ППК26114</t>
        </is>
      </c>
      <c r="H75" s="2">
        <f>IFERROR(INDEX('iCoA Register'!$B:$B,MATCH("P060402|I",'iCoA Register'!$P:$P,0)),"—")</f>
        <v/>
      </c>
      <c r="I75" s="5">
        <f>IFERROR(INDEX('iCoA Register'!$D:$D,MATCH("P060402|I",'iCoA Register'!$P:$P,0)),"")</f>
        <v/>
      </c>
      <c r="J75" s="2" t="inlineStr">
        <is>
          <t>post-SOP</t>
        </is>
      </c>
      <c r="K75" s="2" t="inlineStr">
        <is>
          <t>initial release</t>
        </is>
      </c>
      <c r="L75" s="3" t="inlineStr">
        <is>
          <t>GG012603</t>
        </is>
      </c>
      <c r="M75" s="2" t="inlineStr">
        <is>
          <t>P060402</t>
        </is>
      </c>
      <c r="N75" s="2" t="inlineStr">
        <is>
          <t>GorillaGlue</t>
        </is>
      </c>
      <c r="O75" s="2" t="inlineStr">
        <is>
          <t>ППК26114, (30.06.2026) [CNP]</t>
        </is>
      </c>
      <c r="P75" s="2" t="inlineStr">
        <is>
          <t>A: ППК26114 / B: ППК26114 / FM: ППК26114</t>
        </is>
      </c>
      <c r="Q75" s="2" t="inlineStr">
        <is>
          <t>—</t>
        </is>
      </c>
      <c r="R75" s="2" t="inlineStr">
        <is>
          <t>CoQ-PP-2026-0023</t>
        </is>
      </c>
      <c r="S75" s="2" t="inlineStr">
        <is>
          <t>P060402|I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ППК26111</t>
        </is>
      </c>
      <c r="H76" s="2">
        <f>IFERROR(INDEX('iCoA Register'!$B:$B,MATCH("P060412|I",'iCoA Register'!$P:$P,0)),"—")</f>
        <v/>
      </c>
      <c r="I76" s="5">
        <f>IFERROR(INDEX('iCoA Register'!$D:$D,MATCH("P060412|I",'iCoA Register'!$P:$P,0)),"")</f>
        <v/>
      </c>
      <c r="J76" s="2" t="inlineStr">
        <is>
          <t>post-SOP</t>
        </is>
      </c>
      <c r="K76" s="2" t="inlineStr">
        <is>
          <t>initial release</t>
        </is>
      </c>
      <c r="L76" s="3" t="inlineStr">
        <is>
          <t>JD012603</t>
        </is>
      </c>
      <c r="M76" s="2" t="inlineStr">
        <is>
          <t>P060412</t>
        </is>
      </c>
      <c r="N76" s="2" t="inlineStr"/>
      <c r="O76" s="2" t="inlineStr">
        <is>
          <t>ППК26111, (30.06.2026) [CNP]</t>
        </is>
      </c>
      <c r="P76" s="2" t="inlineStr">
        <is>
          <t>A: ППК26111 / B: ППК26111 / FM: ППК26111</t>
        </is>
      </c>
      <c r="Q76" s="2" t="inlineStr">
        <is>
          <t>—</t>
        </is>
      </c>
      <c r="R76" s="2" t="inlineStr">
        <is>
          <t>CoQ-PP-2026-0025</t>
        </is>
      </c>
      <c r="S76" s="2" t="inlineStr">
        <is>
          <t>P060412|I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46203</v>
      </c>
      <c r="G77" s="2" t="inlineStr">
        <is>
          <t>ППК26112</t>
        </is>
      </c>
      <c r="H77" s="2">
        <f>IFERROR(INDEX('iCoA Register'!$B:$B,MATCH("P060432|I",'iCoA Register'!$P:$P,0)),"—")</f>
        <v/>
      </c>
      <c r="I77" s="5">
        <f>IFERROR(INDEX('iCoA Register'!$D:$D,MATCH("P060432|I",'iCoA Register'!$P:$P,0)),"")</f>
        <v/>
      </c>
      <c r="J77" s="2" t="inlineStr">
        <is>
          <t>post-SOP</t>
        </is>
      </c>
      <c r="K77" s="2" t="inlineStr">
        <is>
          <t>initial release</t>
        </is>
      </c>
      <c r="L77" s="3" t="inlineStr">
        <is>
          <t>FB012603</t>
        </is>
      </c>
      <c r="M77" s="2" t="inlineStr">
        <is>
          <t>P060432</t>
        </is>
      </c>
      <c r="N77" s="2" t="inlineStr">
        <is>
          <t>Fat Bastard</t>
        </is>
      </c>
      <c r="O77" s="2" t="inlineStr">
        <is>
          <t>ППК26112, (30.06.2026) [CNP]</t>
        </is>
      </c>
      <c r="P77" s="2" t="inlineStr">
        <is>
          <t>A: ППК26112 / B: ППК26112 / FM: ППК26112</t>
        </is>
      </c>
      <c r="Q77" s="2" t="inlineStr">
        <is>
          <t>—</t>
        </is>
      </c>
      <c r="R77" s="2" t="inlineStr">
        <is>
          <t>(assigned on issue)</t>
        </is>
      </c>
      <c r="S77" s="2" t="inlineStr">
        <is>
          <t>P060432|I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46209</v>
      </c>
      <c r="G78" s="2" t="inlineStr">
        <is>
          <t>ППК26116</t>
        </is>
      </c>
      <c r="H78" s="2">
        <f>IFERROR(INDEX('iCoA Register'!$B:$B,MATCH("P060442|I",'iCoA Register'!$P:$P,0)),"—")</f>
        <v/>
      </c>
      <c r="I78" s="5">
        <f>IFERROR(INDEX('iCoA Register'!$D:$D,MATCH("P060442|I",'iCoA Register'!$P:$P,0)),"")</f>
        <v/>
      </c>
      <c r="J78" s="2" t="inlineStr">
        <is>
          <t>post-SOP</t>
        </is>
      </c>
      <c r="K78" s="2" t="inlineStr">
        <is>
          <t>initial release</t>
        </is>
      </c>
      <c r="L78" s="3" t="inlineStr">
        <is>
          <t>SCR022601</t>
        </is>
      </c>
      <c r="M78" s="2" t="inlineStr">
        <is>
          <t>P060442</t>
        </is>
      </c>
      <c r="N78" s="2" t="inlineStr">
        <is>
          <t>Scrambler</t>
        </is>
      </c>
      <c r="O78" s="2" t="inlineStr">
        <is>
          <t>ППК26116, (06.07.2026) [CNP]</t>
        </is>
      </c>
      <c r="P78" s="2" t="inlineStr">
        <is>
          <t>A: ППК26116 / B: ППК26116 / FM: ППК26116</t>
        </is>
      </c>
      <c r="Q78" s="2" t="inlineStr">
        <is>
          <t>—</t>
        </is>
      </c>
      <c r="R78" s="2" t="inlineStr">
        <is>
          <t>(assigned on issue)</t>
        </is>
      </c>
      <c r="S78" s="2" t="inlineStr">
        <is>
          <t>P060442|I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ППК26127</t>
        </is>
      </c>
      <c r="H79" s="2">
        <f>IFERROR(INDEX('iCoA Register'!$B:$B,MATCH("P060452|I",'iCoA Register'!$P:$P,0)),"—")</f>
        <v/>
      </c>
      <c r="I79" s="5">
        <f>IFERROR(INDEX('iCoA Register'!$D:$D,MATCH("P060452|I",'iCoA Register'!$P:$P,0)),"")</f>
        <v/>
      </c>
      <c r="J79" s="2" t="inlineStr">
        <is>
          <t>post-SOP</t>
        </is>
      </c>
      <c r="K79" s="2" t="inlineStr">
        <is>
          <t>initial release</t>
        </is>
      </c>
      <c r="L79" s="3" t="inlineStr">
        <is>
          <t>FB032601</t>
        </is>
      </c>
      <c r="M79" s="2" t="inlineStr">
        <is>
          <t>P060452</t>
        </is>
      </c>
      <c r="N79" s="2" t="inlineStr">
        <is>
          <t>FatBastard</t>
        </is>
      </c>
      <c r="O79" s="2" t="inlineStr">
        <is>
          <t>ППК26127, (21.07.2026) [CNP]</t>
        </is>
      </c>
      <c r="P79" s="2" t="inlineStr">
        <is>
          <t>A: ППК26127 / B: ППК26127 / FM: ППК26127</t>
        </is>
      </c>
      <c r="Q79" s="2" t="inlineStr">
        <is>
          <t>—</t>
        </is>
      </c>
      <c r="R79" s="2" t="inlineStr">
        <is>
          <t>(assigned on issue)</t>
        </is>
      </c>
      <c r="S79" s="2" t="inlineStr">
        <is>
          <t>P060452|I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46224</v>
      </c>
      <c r="G80" s="2" t="inlineStr">
        <is>
          <t>ППК26128</t>
        </is>
      </c>
      <c r="H80" s="2">
        <f>IFERROR(INDEX('iCoA Register'!$B:$B,MATCH("P060462|I",'iCoA Register'!$P:$P,0)),"—")</f>
        <v/>
      </c>
      <c r="I80" s="5">
        <f>IFERROR(INDEX('iCoA Register'!$D:$D,MATCH("P060462|I",'iCoA Register'!$P:$P,0)),"")</f>
        <v/>
      </c>
      <c r="J80" s="2" t="inlineStr">
        <is>
          <t>post-SOP</t>
        </is>
      </c>
      <c r="K80" s="2" t="inlineStr">
        <is>
          <t>initial release</t>
        </is>
      </c>
      <c r="L80" s="3" t="inlineStr">
        <is>
          <t>GG032601</t>
        </is>
      </c>
      <c r="M80" s="2" t="inlineStr">
        <is>
          <t>P060462</t>
        </is>
      </c>
      <c r="N80" s="2" t="inlineStr">
        <is>
          <t>GorillaGlue</t>
        </is>
      </c>
      <c r="O80" s="2" t="inlineStr">
        <is>
          <t>ППК26128, (21.07.2026) [CNP]</t>
        </is>
      </c>
      <c r="P80" s="2" t="inlineStr">
        <is>
          <t>A: ППК26128 / B: ППК26128 / FM: ППК26128</t>
        </is>
      </c>
      <c r="Q80" s="2" t="inlineStr">
        <is>
          <t>—</t>
        </is>
      </c>
      <c r="R80" s="2" t="inlineStr">
        <is>
          <t>(assigned on issue)</t>
        </is>
      </c>
      <c r="S80" s="2" t="inlineStr">
        <is>
          <t>P060462|I</t>
        </is>
      </c>
      <c r="T80" s="7" t="inlineStr">
        <is>
          <t>registered — first working day 7 days after the latest eCoA · initial certificate to locate: #9 (IJZ), #10 (CNP), #11 (CNP), #12 (CNP)</t>
        </is>
      </c>
    </row>
    <row r="81">
      <c r="A81" s="2">
        <f>IF(C81="yes",COUNT(A$1:A80)+1,"")</f>
        <v/>
      </c>
      <c r="B81" s="3">
        <f>IF(A81&lt;&gt;"","CoQ-PP_26-"&amp;TEXT(A81,"000"),"— at issue —")</f>
        <v/>
      </c>
      <c r="C81" s="4" t="inlineStr">
        <is>
          <t>yes</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46203</v>
      </c>
      <c r="G81" s="2" t="inlineStr">
        <is>
          <t>ППК26115</t>
        </is>
      </c>
      <c r="H81" s="2">
        <f>IFERROR(INDEX('iCoA Register'!$B:$B,MATCH("P060482|I",'iCoA Register'!$P:$P,0)),"—")</f>
        <v/>
      </c>
      <c r="I81" s="5">
        <f>IFERROR(INDEX('iCoA Register'!$D:$D,MATCH("P060482|I",'iCoA Register'!$P:$P,0)),"")</f>
        <v/>
      </c>
      <c r="J81" s="2" t="inlineStr">
        <is>
          <t>post-SOP</t>
        </is>
      </c>
      <c r="K81" s="2" t="inlineStr">
        <is>
          <t>initial release</t>
        </is>
      </c>
      <c r="L81" s="3" t="inlineStr">
        <is>
          <t>JD022601</t>
        </is>
      </c>
      <c r="M81" s="2" t="inlineStr">
        <is>
          <t>P060482</t>
        </is>
      </c>
      <c r="N81" s="2" t="inlineStr">
        <is>
          <t>JellyDonutz</t>
        </is>
      </c>
      <c r="O81" s="2" t="inlineStr">
        <is>
          <t>ППК26115, (30.06.2026) [CNP]</t>
        </is>
      </c>
      <c r="P81" s="2" t="inlineStr">
        <is>
          <t>A: ППК26115 / B: ППК26115 / FM: ППК26115</t>
        </is>
      </c>
      <c r="Q81" s="2" t="inlineStr">
        <is>
          <t>—</t>
        </is>
      </c>
      <c r="R81" s="2" t="inlineStr">
        <is>
          <t>(assigned on issue)</t>
        </is>
      </c>
      <c r="S81" s="2" t="inlineStr">
        <is>
          <t>P060482|I</t>
        </is>
      </c>
      <c r="T81" s="7" t="inlineStr">
        <is>
          <t>registered — held to the packaging date · initial certificate to locate: #9 (IJZ), #10 (CNP), #11 (CNP), #12 (CNP)</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 not recorded —|I",'iCoA Register'!$P:$P,0)),"—")</f>
        <v/>
      </c>
      <c r="I82" s="5">
        <f>IFERROR(INDEX('iCoA Register'!$D:$D,MATCH("— not recorded —|I",'iCoA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 not recorded —|I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 not recorded —|I",'iCoA Register'!$P:$P,0)),"—")</f>
        <v/>
      </c>
      <c r="I83" s="5">
        <f>IFERROR(INDEX('iCoA Register'!$D:$D,MATCH("— not recorded —|I",'iCoA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 not recorded —|I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 not recorded —|I",'iCoA Register'!$P:$P,0)),"—")</f>
        <v/>
      </c>
      <c r="I84" s="5">
        <f>IFERROR(INDEX('iCoA Register'!$D:$D,MATCH("— not recorded —|I",'iCoA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 not recorded —|I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legacy</t>
        </is>
      </c>
      <c r="K135" s="2" t="inlineStr">
        <is>
          <t>retest — not yet sampled</t>
        </is>
      </c>
      <c r="L135" s="3" t="inlineStr">
        <is>
          <t>JD112501＊</t>
        </is>
      </c>
      <c r="M135" s="2" t="inlineStr">
        <is>
          <t>P060212</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CoQ_Analysis_Master_v11.xlsx,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2026-09-06T20:00:02Z</dcterms:created>
  <dcterms:modified xmlns:dcterms="http://purl.org/dc/terms/" xmlns:xsi="http://www.w3.org/2001/XMLSchema-instance" xsi:type="dcterms:W3CDTF">2026-09-06T20:00:02Z</dcterms:modified>
</cp:coreProperties>
</file>